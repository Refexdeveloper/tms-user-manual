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EL-Plant MI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xNHrHmsLwIsCJCFT9kd4/PPKHEtVDJU9dN6pSJ9GYVo="/>
    </ext>
  </extLst>
</workbook>
</file>

<file path=xl/sharedStrings.xml><?xml version="1.0" encoding="utf-8"?>
<sst xmlns="http://schemas.openxmlformats.org/spreadsheetml/2006/main" count="328" uniqueCount="188">
  <si>
    <t>Summary of Raw Materials</t>
  </si>
  <si>
    <t>Sr.No.</t>
  </si>
  <si>
    <t>Descriptions</t>
  </si>
  <si>
    <t>UoM</t>
  </si>
  <si>
    <t>Qty</t>
  </si>
  <si>
    <t>Cow Dung Purchased</t>
  </si>
  <si>
    <t>ton</t>
  </si>
  <si>
    <t>Cow Dung in Stock</t>
  </si>
  <si>
    <t>Old Press Mud Opening Balance</t>
  </si>
  <si>
    <t>Old season Press Mud Purchased</t>
  </si>
  <si>
    <t>Old Press Mud Moisture &amp; Degradation loss</t>
  </si>
  <si>
    <t>Old Press Mud  Closing Stock</t>
  </si>
  <si>
    <t>New Press Mud Purchased</t>
  </si>
  <si>
    <t>Pressmud Use</t>
  </si>
  <si>
    <t>Total Press Mud in Stock</t>
  </si>
  <si>
    <t>Audit based inventory sheet prepare separately</t>
  </si>
  <si>
    <t>Date</t>
  </si>
  <si>
    <t xml:space="preserve">FEED MIXING TANK </t>
  </si>
  <si>
    <t>Digester-01</t>
  </si>
  <si>
    <t>Digester-02</t>
  </si>
  <si>
    <t>Digester-03</t>
  </si>
  <si>
    <t>SLS Machine</t>
  </si>
  <si>
    <t>Raw Biogas</t>
  </si>
  <si>
    <t>Compressed Bio gas</t>
  </si>
  <si>
    <t xml:space="preserve">Compressors </t>
  </si>
  <si>
    <t>Fertilizer  (MT)</t>
  </si>
  <si>
    <t>Utilities and Power</t>
  </si>
  <si>
    <t xml:space="preserve">ManPower </t>
  </si>
  <si>
    <t>Plant Availability</t>
  </si>
  <si>
    <t>HSE (No.s)</t>
  </si>
  <si>
    <t>Remarks (Breakdown Reasons)</t>
  </si>
  <si>
    <t>Cowdung Feed Qty</t>
  </si>
  <si>
    <t>Pressmud Feed Qty</t>
  </si>
  <si>
    <t>Recycled permeate/slurry Qty</t>
  </si>
  <si>
    <t xml:space="preserve"> Water</t>
  </si>
  <si>
    <t xml:space="preserve">Feed Mixing Tank Slurry </t>
  </si>
  <si>
    <t>Digester-01 feeding and discharge data</t>
  </si>
  <si>
    <t>Digester-02 feeding and discharge data</t>
  </si>
  <si>
    <t>Digester-03 feeding and discharge data</t>
  </si>
  <si>
    <t>Digester Slurry Characteristics (D1)</t>
  </si>
  <si>
    <t>Digester's Health (D1)</t>
  </si>
  <si>
    <t>Digester Slurry Characteristics (D2)</t>
  </si>
  <si>
    <t>Digester's Health (D2)</t>
  </si>
  <si>
    <t>Digester Slurry Characteristics (D3)</t>
  </si>
  <si>
    <t>Digester's Health (D3)</t>
  </si>
  <si>
    <t>Decanter</t>
  </si>
  <si>
    <t>Raw Biogas Generation</t>
  </si>
  <si>
    <t xml:space="preserve">Total 
 Raw Biogas Generation 
(Sm3) </t>
  </si>
  <si>
    <t>RBG Flared</t>
  </si>
  <si>
    <t>Gas Yield</t>
  </si>
  <si>
    <t>RBG Quality</t>
  </si>
  <si>
    <t>CBG Quality</t>
  </si>
  <si>
    <t xml:space="preserve">Conversion Ratio </t>
  </si>
  <si>
    <t>CH4 
Slippage</t>
  </si>
  <si>
    <t>CBG Stock</t>
  </si>
  <si>
    <t>CBG Sold</t>
  </si>
  <si>
    <t>Compressor Running Hrs</t>
  </si>
  <si>
    <t xml:space="preserve">FOM  </t>
  </si>
  <si>
    <t>LFOM</t>
  </si>
  <si>
    <t>Loose  FOM /Bulk sold</t>
  </si>
  <si>
    <t>Total Water 
Cosumption</t>
  </si>
  <si>
    <t>Power Consumption (per Kwh of RNG)</t>
  </si>
  <si>
    <t>CD Qty 
(Tons)</t>
  </si>
  <si>
    <t>Avg TS%</t>
  </si>
  <si>
    <t>Avg VS%</t>
  </si>
  <si>
    <t>PM Qty 
(Tons)</t>
  </si>
  <si>
    <t>Permeate/   Digester-03
Feed (m3)</t>
  </si>
  <si>
    <t>Permeate TS%</t>
  </si>
  <si>
    <t>Permeate VS%</t>
  </si>
  <si>
    <t>m3</t>
  </si>
  <si>
    <t>Total Slurry (m3/day)</t>
  </si>
  <si>
    <t>Slurry 
TS %</t>
  </si>
  <si>
    <t>Slurry 
VS%</t>
  </si>
  <si>
    <t>pH</t>
  </si>
  <si>
    <t xml:space="preserve">Total 
Slurry Feed </t>
  </si>
  <si>
    <t>Total 
Slurry Discharge or Out</t>
  </si>
  <si>
    <t>Total Slurry Feed</t>
  </si>
  <si>
    <t>Total Slurry Discharge or Out</t>
  </si>
  <si>
    <t xml:space="preserve">Lignin </t>
  </si>
  <si>
    <t>VFA</t>
  </si>
  <si>
    <t>Alkalinity</t>
  </si>
  <si>
    <t>VFA:ALK 
Ratio</t>
  </si>
  <si>
    <t>Ash</t>
  </si>
  <si>
    <t>Density</t>
  </si>
  <si>
    <t>pH (D1)</t>
  </si>
  <si>
    <t>Temp.</t>
  </si>
  <si>
    <t>Pressure</t>
  </si>
  <si>
    <t>Slurry 
Level</t>
  </si>
  <si>
    <t xml:space="preserve">HRT </t>
  </si>
  <si>
    <t xml:space="preserve">VS destruction </t>
  </si>
  <si>
    <t>OLR</t>
  </si>
  <si>
    <t>Balloon</t>
  </si>
  <si>
    <t>Agitator Working Condition</t>
  </si>
  <si>
    <t>Foaming 
Level</t>
  </si>
  <si>
    <t>VFA:ALK Ratio</t>
  </si>
  <si>
    <t>pH (D2)</t>
  </si>
  <si>
    <t>Slurry 
Temp.</t>
  </si>
  <si>
    <t>VS Destruction</t>
  </si>
  <si>
    <t>Foaming 
Level (D2)</t>
  </si>
  <si>
    <t>pH (D3)</t>
  </si>
  <si>
    <t>Foaming 
Level (D3)</t>
  </si>
  <si>
    <t xml:space="preserve">Water Consumptions </t>
  </si>
  <si>
    <t>Poly electrolyte</t>
  </si>
  <si>
    <t>Solution</t>
  </si>
  <si>
    <t>Digester-03 Slurry feed</t>
  </si>
  <si>
    <t>Wet Cake Production</t>
  </si>
  <si>
    <t>Permeate/Liquid</t>
  </si>
  <si>
    <t>Digester 01</t>
  </si>
  <si>
    <t>Digester 02</t>
  </si>
  <si>
    <t>Digester 03</t>
  </si>
  <si>
    <t>CH4 %</t>
  </si>
  <si>
    <t>CO2 %</t>
  </si>
  <si>
    <t xml:space="preserve">H2S </t>
  </si>
  <si>
    <t>O2 %</t>
  </si>
  <si>
    <t>N2 %</t>
  </si>
  <si>
    <t>Produced</t>
  </si>
  <si>
    <t>O2</t>
  </si>
  <si>
    <t>N2</t>
  </si>
  <si>
    <t>Comp1</t>
  </si>
  <si>
    <t>Comp2</t>
  </si>
  <si>
    <t>total</t>
  </si>
  <si>
    <t>FOM Produced</t>
  </si>
  <si>
    <t>Inventory</t>
  </si>
  <si>
    <t>Sold</t>
  </si>
  <si>
    <t>Wt Avg</t>
  </si>
  <si>
    <t>Revenue 1</t>
  </si>
  <si>
    <t>Lagoon Liquid/ digester-03 slurry sold</t>
  </si>
  <si>
    <t>Revenue 2</t>
  </si>
  <si>
    <t>Revenue 3</t>
  </si>
  <si>
    <t>Electricity consumption - Grid</t>
  </si>
  <si>
    <t>Specific Power Consumption (kWh/Ton CBG produced)</t>
  </si>
  <si>
    <t>Refex-SREL</t>
  </si>
  <si>
    <t xml:space="preserve"> Third Party</t>
  </si>
  <si>
    <t>Working hrs</t>
  </si>
  <si>
    <t>Scheduled 
Downtime Hrs</t>
  </si>
  <si>
    <t>Unscheduled 
downtime Hrs</t>
  </si>
  <si>
    <t>Total Plant 
Availability in Hrs</t>
  </si>
  <si>
    <t>Safety - LTI</t>
  </si>
  <si>
    <t>Near misses</t>
  </si>
  <si>
    <t>First Aid</t>
  </si>
  <si>
    <t>Reportable incidences</t>
  </si>
  <si>
    <t>MTI(Medical Treatment )</t>
  </si>
  <si>
    <t xml:space="preserve"> Incident (Others)</t>
  </si>
  <si>
    <t>Fatalities</t>
  </si>
  <si>
    <t>Total Slurry Feed (m3/day)</t>
  </si>
  <si>
    <t>Avg TS %</t>
  </si>
  <si>
    <t>Avg VS %</t>
  </si>
  <si>
    <t>Total Slurry Out (m3/day)</t>
  </si>
  <si>
    <t>Total Slurry feed (m3/day)</t>
  </si>
  <si>
    <t>Avg. TS%</t>
  </si>
  <si>
    <t>%</t>
  </si>
  <si>
    <t>mg/lit</t>
  </si>
  <si>
    <t>gm/cm3</t>
  </si>
  <si>
    <r>
      <rPr>
        <rFont val="Calibri"/>
        <b/>
        <color theme="1"/>
        <sz val="14.0"/>
        <vertAlign val="superscript"/>
      </rPr>
      <t>0</t>
    </r>
    <r>
      <rPr>
        <rFont val="Calibri"/>
        <b/>
        <color theme="1"/>
        <sz val="14.0"/>
      </rPr>
      <t>C</t>
    </r>
  </si>
  <si>
    <t>mbar</t>
  </si>
  <si>
    <t>Mtrs</t>
  </si>
  <si>
    <t>Days</t>
  </si>
  <si>
    <t>KgVS/m3 day</t>
  </si>
  <si>
    <t>Level Mtr/%</t>
  </si>
  <si>
    <t>OK/Not OK</t>
  </si>
  <si>
    <r>
      <rPr>
        <rFont val="Calibri"/>
        <b/>
        <color theme="1"/>
        <sz val="14.0"/>
        <vertAlign val="superscript"/>
      </rPr>
      <t>O</t>
    </r>
    <r>
      <rPr>
        <rFont val="Calibri"/>
        <b/>
        <color theme="1"/>
        <sz val="14.0"/>
      </rPr>
      <t>C</t>
    </r>
  </si>
  <si>
    <t>OK/ Not Ok</t>
  </si>
  <si>
    <r>
      <rPr>
        <rFont val="Calibri"/>
        <b/>
        <color theme="1"/>
        <sz val="14.0"/>
        <vertAlign val="superscript"/>
      </rPr>
      <t>O</t>
    </r>
    <r>
      <rPr>
        <rFont val="Calibri"/>
        <b/>
        <color theme="1"/>
        <sz val="14.0"/>
      </rPr>
      <t>C</t>
    </r>
  </si>
  <si>
    <t>Kg</t>
  </si>
  <si>
    <t>Qty (TPD)</t>
  </si>
  <si>
    <t>TS%</t>
  </si>
  <si>
    <t>VS%</t>
  </si>
  <si>
    <t>Qty produced (m3)</t>
  </si>
  <si>
    <t>Qty send to Lagoon (m3)</t>
  </si>
  <si>
    <t>Sm3</t>
  </si>
  <si>
    <t>Sm3/ton</t>
  </si>
  <si>
    <t>ppm</t>
  </si>
  <si>
    <t>Kgs</t>
  </si>
  <si>
    <t>Hrs</t>
  </si>
  <si>
    <t>tons</t>
  </si>
  <si>
    <t>tons or m3</t>
  </si>
  <si>
    <t>kWh</t>
  </si>
  <si>
    <t>kWh/kg CBG</t>
  </si>
  <si>
    <t>Nos</t>
  </si>
  <si>
    <t>-</t>
  </si>
  <si>
    <t>Pressmud stock nill</t>
  </si>
  <si>
    <t>Sum</t>
  </si>
  <si>
    <t>Average</t>
  </si>
  <si>
    <t>Sr.No</t>
  </si>
  <si>
    <t>October Opning Stock in MT</t>
  </si>
  <si>
    <t>October Closing Stock in MT</t>
  </si>
  <si>
    <t>Packed Bags</t>
  </si>
  <si>
    <t>Raw Sludge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</si>
</sst>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₹&quot;* #,##0_);_(&quot;₹&quot;* \(#,##0\);_(&quot;₹&quot;* &quot;-&quot;??_);_(@_)"/>
    <numFmt numFmtId="165" formatCode="0.0000"/>
    <numFmt numFmtId="166" formatCode="h\.mm"/>
    <numFmt numFmtId="167" formatCode="0.0"/>
  </numFmts>
  <fonts count="8">
    <font>
      <sz val="11.0"/>
      <color theme="1"/>
      <name val="Aptos Narrow"/>
      <scheme val="minor"/>
    </font>
    <font>
      <sz val="14.0"/>
      <color theme="1"/>
      <name val="Aptos Narrow"/>
    </font>
    <font>
      <b/>
      <sz val="14.0"/>
      <color theme="1"/>
      <name val="Aptos Narrow"/>
    </font>
    <font/>
    <font>
      <b/>
      <sz val="14.0"/>
      <color theme="1"/>
      <name val="Calibri"/>
    </font>
    <font>
      <sz val="12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</fonts>
  <fills count="21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0E4F5"/>
        <bgColor rgb="FFC0E4F5"/>
      </patternFill>
    </fill>
    <fill>
      <patternFill patternType="solid">
        <fgColor rgb="FFFFFFCC"/>
        <bgColor rgb="FFFFFFCC"/>
      </patternFill>
    </fill>
    <fill>
      <patternFill patternType="solid">
        <fgColor rgb="FFF1CEEE"/>
        <bgColor rgb="FFF1CEEE"/>
      </patternFill>
    </fill>
    <fill>
      <patternFill patternType="solid">
        <fgColor rgb="FFFFCC99"/>
        <bgColor rgb="FFFFCC99"/>
      </patternFill>
    </fill>
    <fill>
      <patternFill patternType="solid">
        <fgColor rgb="FF66FFFF"/>
        <bgColor rgb="FF66FFFF"/>
      </patternFill>
    </fill>
    <fill>
      <patternFill patternType="solid">
        <fgColor rgb="FF99FFCC"/>
        <bgColor rgb="FF99FFCC"/>
      </patternFill>
    </fill>
    <fill>
      <patternFill patternType="solid">
        <fgColor rgb="FFC1F1C8"/>
        <bgColor rgb="FFC1F1C8"/>
      </patternFill>
    </fill>
    <fill>
      <patternFill patternType="solid">
        <fgColor rgb="FFCCCCFF"/>
        <bgColor rgb="FFCCCCFF"/>
      </patternFill>
    </fill>
    <fill>
      <patternFill patternType="solid">
        <fgColor rgb="FFFFCC66"/>
        <bgColor rgb="FFFFCC66"/>
      </patternFill>
    </fill>
    <fill>
      <patternFill patternType="solid">
        <fgColor rgb="FFA6C9EB"/>
        <bgColor rgb="FFA6C9EB"/>
      </patternFill>
    </fill>
    <fill>
      <patternFill patternType="solid">
        <fgColor rgb="FFFF6699"/>
        <bgColor rgb="FFFF6699"/>
      </patternFill>
    </fill>
    <fill>
      <patternFill patternType="solid">
        <fgColor rgb="FFD0D0D0"/>
        <bgColor rgb="FFD0D0D0"/>
      </patternFill>
    </fill>
    <fill>
      <patternFill patternType="solid">
        <fgColor rgb="FFFFAFAF"/>
        <bgColor rgb="FFFFAFAF"/>
      </patternFill>
    </fill>
    <fill>
      <patternFill patternType="solid">
        <fgColor rgb="FF43AFE2"/>
        <bgColor rgb="FF43AFE2"/>
      </patternFill>
    </fill>
    <fill>
      <patternFill patternType="solid">
        <fgColor rgb="FF95DCF7"/>
        <bgColor rgb="FF95DCF7"/>
      </patternFill>
    </fill>
    <fill>
      <patternFill patternType="solid">
        <fgColor rgb="FFD8D8D8"/>
        <bgColor rgb="FFD8D8D8"/>
      </patternFill>
    </fill>
  </fills>
  <borders count="3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shrinkToFit="0" wrapText="1"/>
    </xf>
    <xf borderId="4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left"/>
    </xf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center"/>
    </xf>
    <xf borderId="15" fillId="0" fontId="1" numFmtId="0" xfId="0" applyBorder="1" applyFont="1"/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7" fillId="2" fontId="1" numFmtId="0" xfId="0" applyAlignment="1" applyBorder="1" applyFont="1">
      <alignment horizontal="left"/>
    </xf>
    <xf borderId="18" fillId="0" fontId="3" numFmtId="0" xfId="0" applyBorder="1" applyFont="1"/>
    <xf borderId="19" fillId="0" fontId="3" numFmtId="0" xfId="0" applyBorder="1" applyFont="1"/>
    <xf borderId="20" fillId="4" fontId="4" numFmtId="0" xfId="0" applyAlignment="1" applyBorder="1" applyFill="1" applyFont="1">
      <alignment horizontal="center" vertical="center"/>
    </xf>
    <xf borderId="21" fillId="5" fontId="4" numFmtId="164" xfId="0" applyAlignment="1" applyBorder="1" applyFill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1" fillId="6" fontId="4" numFmtId="0" xfId="0" applyAlignment="1" applyBorder="1" applyFill="1" applyFont="1">
      <alignment horizontal="center" vertical="center"/>
    </xf>
    <xf borderId="21" fillId="7" fontId="4" numFmtId="0" xfId="0" applyAlignment="1" applyBorder="1" applyFill="1" applyFont="1">
      <alignment horizontal="center" vertical="center"/>
    </xf>
    <xf borderId="21" fillId="8" fontId="4" numFmtId="0" xfId="0" applyAlignment="1" applyBorder="1" applyFill="1" applyFont="1">
      <alignment horizontal="center" vertical="center"/>
    </xf>
    <xf borderId="21" fillId="6" fontId="4" numFmtId="164" xfId="0" applyAlignment="1" applyBorder="1" applyFont="1" applyNumberFormat="1">
      <alignment horizontal="center" vertical="center"/>
    </xf>
    <xf borderId="21" fillId="7" fontId="4" numFmtId="164" xfId="0" applyAlignment="1" applyBorder="1" applyFont="1" applyNumberFormat="1">
      <alignment horizontal="center" vertical="center"/>
    </xf>
    <xf borderId="21" fillId="8" fontId="4" numFmtId="164" xfId="0" applyAlignment="1" applyBorder="1" applyFont="1" applyNumberFormat="1">
      <alignment horizontal="center" vertical="center"/>
    </xf>
    <xf borderId="21" fillId="9" fontId="2" numFmtId="0" xfId="0" applyAlignment="1" applyBorder="1" applyFill="1" applyFont="1">
      <alignment horizontal="center"/>
    </xf>
    <xf borderId="21" fillId="10" fontId="2" numFmtId="0" xfId="0" applyAlignment="1" applyBorder="1" applyFill="1" applyFont="1">
      <alignment horizontal="center"/>
    </xf>
    <xf borderId="21" fillId="11" fontId="2" numFmtId="0" xfId="0" applyAlignment="1" applyBorder="1" applyFill="1" applyFont="1">
      <alignment horizontal="center"/>
    </xf>
    <xf borderId="21" fillId="12" fontId="2" numFmtId="0" xfId="0" applyAlignment="1" applyBorder="1" applyFill="1" applyFont="1">
      <alignment horizontal="center"/>
    </xf>
    <xf borderId="21" fillId="13" fontId="4" numFmtId="0" xfId="0" applyAlignment="1" applyBorder="1" applyFill="1" applyFont="1">
      <alignment horizontal="center" vertical="center"/>
    </xf>
    <xf borderId="21" fillId="14" fontId="2" numFmtId="0" xfId="0" applyAlignment="1" applyBorder="1" applyFill="1" applyFont="1">
      <alignment horizontal="center"/>
    </xf>
    <xf borderId="21" fillId="15" fontId="4" numFmtId="0" xfId="0" applyAlignment="1" applyBorder="1" applyFill="1" applyFont="1">
      <alignment horizontal="center" shrinkToFit="0" vertical="center" wrapText="1"/>
    </xf>
    <xf borderId="21" fillId="16" fontId="4" numFmtId="0" xfId="0" applyAlignment="1" applyBorder="1" applyFill="1" applyFont="1">
      <alignment horizontal="center" shrinkToFit="0" vertical="center" wrapText="1"/>
    </xf>
    <xf borderId="21" fillId="17" fontId="4" numFmtId="0" xfId="0" applyAlignment="1" applyBorder="1" applyFill="1" applyFont="1">
      <alignment horizontal="center" shrinkToFit="0" vertical="center" wrapText="1"/>
    </xf>
    <xf borderId="24" fillId="2" fontId="2" numFmtId="0" xfId="0" applyAlignment="1" applyBorder="1" applyFont="1">
      <alignment horizontal="center"/>
    </xf>
    <xf borderId="25" fillId="0" fontId="3" numFmtId="0" xfId="0" applyBorder="1" applyFont="1"/>
    <xf borderId="26" fillId="5" fontId="4" numFmtId="164" xfId="0" applyAlignment="1" applyBorder="1" applyFont="1" applyNumberFormat="1">
      <alignment horizontal="center" vertical="center"/>
    </xf>
    <xf borderId="5" fillId="5" fontId="4" numFmtId="164" xfId="0" applyAlignment="1" applyBorder="1" applyFont="1" applyNumberFormat="1">
      <alignment horizontal="center" vertical="center"/>
    </xf>
    <xf borderId="27" fillId="5" fontId="4" numFmtId="164" xfId="0" applyAlignment="1" applyBorder="1" applyFont="1" applyNumberFormat="1">
      <alignment horizontal="center" shrinkToFit="0" vertical="center" wrapText="1"/>
    </xf>
    <xf borderId="5" fillId="5" fontId="4" numFmtId="164" xfId="0" applyAlignment="1" applyBorder="1" applyFont="1" applyNumberFormat="1">
      <alignment horizontal="center" shrinkToFit="0" vertical="center" wrapText="1"/>
    </xf>
    <xf borderId="5" fillId="6" fontId="4" numFmtId="164" xfId="0" applyAlignment="1" applyBorder="1" applyFont="1" applyNumberFormat="1">
      <alignment horizontal="center" vertical="center"/>
    </xf>
    <xf borderId="5" fillId="7" fontId="4" numFmtId="164" xfId="0" applyAlignment="1" applyBorder="1" applyFont="1" applyNumberFormat="1">
      <alignment horizontal="center" vertical="center"/>
    </xf>
    <xf borderId="5" fillId="8" fontId="4" numFmtId="164" xfId="0" applyAlignment="1" applyBorder="1" applyFont="1" applyNumberFormat="1">
      <alignment horizontal="center" vertical="center"/>
    </xf>
    <xf borderId="5" fillId="9" fontId="2" numFmtId="0" xfId="0" applyAlignment="1" applyBorder="1" applyFont="1">
      <alignment horizontal="center" vertical="center"/>
    </xf>
    <xf borderId="5" fillId="10" fontId="4" numFmtId="0" xfId="0" applyAlignment="1" applyBorder="1" applyFont="1">
      <alignment horizontal="center" shrinkToFit="0" vertical="center" wrapText="1"/>
    </xf>
    <xf borderId="28" fillId="10" fontId="4" numFmtId="0" xfId="0" applyAlignment="1" applyBorder="1" applyFont="1">
      <alignment horizontal="center" shrinkToFit="0" vertical="center" wrapText="1"/>
    </xf>
    <xf borderId="5" fillId="11" fontId="4" numFmtId="0" xfId="0" applyAlignment="1" applyBorder="1" applyFont="1">
      <alignment horizontal="center" vertical="center"/>
    </xf>
    <xf borderId="28" fillId="11" fontId="4" numFmtId="0" xfId="0" applyAlignment="1" applyBorder="1" applyFont="1">
      <alignment horizontal="center" shrinkToFit="0" vertical="center" wrapText="1"/>
    </xf>
    <xf borderId="28" fillId="11" fontId="4" numFmtId="0" xfId="0" applyAlignment="1" applyBorder="1" applyFont="1">
      <alignment horizontal="center" vertical="center"/>
    </xf>
    <xf borderId="5" fillId="12" fontId="4" numFmtId="0" xfId="0" applyAlignment="1" applyBorder="1" applyFont="1">
      <alignment horizontal="center" vertical="center"/>
    </xf>
    <xf borderId="5" fillId="13" fontId="4" numFmtId="0" xfId="0" applyAlignment="1" applyBorder="1" applyFont="1">
      <alignment horizontal="center" vertical="center"/>
    </xf>
    <xf borderId="28" fillId="18" fontId="4" numFmtId="0" xfId="0" applyAlignment="1" applyBorder="1" applyFill="1" applyFont="1">
      <alignment horizontal="center" shrinkToFit="0" vertical="center" wrapText="1"/>
    </xf>
    <xf borderId="5" fillId="19" fontId="4" numFmtId="0" xfId="0" applyAlignment="1" applyBorder="1" applyFill="1" applyFont="1">
      <alignment horizontal="center" shrinkToFit="0" vertical="center" wrapText="1"/>
    </xf>
    <xf borderId="5" fillId="15" fontId="4" numFmtId="0" xfId="0" applyAlignment="1" applyBorder="1" applyFont="1">
      <alignment horizontal="center" shrinkToFit="0" vertical="center" wrapText="1"/>
    </xf>
    <xf borderId="5" fillId="16" fontId="4" numFmtId="0" xfId="0" applyAlignment="1" applyBorder="1" applyFont="1">
      <alignment horizontal="center" shrinkToFit="0" vertical="center" wrapText="1"/>
    </xf>
    <xf borderId="5" fillId="17" fontId="4" numFmtId="0" xfId="0" applyAlignment="1" applyBorder="1" applyFont="1">
      <alignment horizontal="center" shrinkToFit="0" vertical="center" wrapText="1"/>
    </xf>
    <xf borderId="29" fillId="0" fontId="1" numFmtId="0" xfId="0" applyBorder="1" applyFont="1"/>
    <xf borderId="30" fillId="5" fontId="4" numFmtId="164" xfId="0" applyAlignment="1" applyBorder="1" applyFont="1" applyNumberFormat="1">
      <alignment horizontal="center" shrinkToFit="0" vertical="center" wrapText="1"/>
    </xf>
    <xf borderId="31" fillId="5" fontId="4" numFmtId="0" xfId="0" applyAlignment="1" applyBorder="1" applyFont="1">
      <alignment horizontal="center" vertical="center"/>
    </xf>
    <xf borderId="31" fillId="5" fontId="4" numFmtId="164" xfId="0" applyAlignment="1" applyBorder="1" applyFont="1" applyNumberFormat="1">
      <alignment horizontal="center" shrinkToFit="0" vertical="center" wrapText="1"/>
    </xf>
    <xf borderId="31" fillId="5" fontId="4" numFmtId="0" xfId="0" applyAlignment="1" applyBorder="1" applyFont="1">
      <alignment horizontal="center" shrinkToFit="0" vertical="center" wrapText="1"/>
    </xf>
    <xf borderId="11" fillId="6" fontId="4" numFmtId="164" xfId="0" applyAlignment="1" applyBorder="1" applyFont="1" applyNumberFormat="1">
      <alignment horizontal="center" shrinkToFit="0" vertical="center" wrapText="1"/>
    </xf>
    <xf borderId="11" fillId="7" fontId="4" numFmtId="164" xfId="0" applyAlignment="1" applyBorder="1" applyFont="1" applyNumberFormat="1">
      <alignment horizontal="center" shrinkToFit="0" vertical="center" wrapText="1"/>
    </xf>
    <xf borderId="11" fillId="8" fontId="4" numFmtId="164" xfId="0" applyAlignment="1" applyBorder="1" applyFont="1" applyNumberFormat="1">
      <alignment horizontal="center" shrinkToFit="0" vertical="center" wrapText="1"/>
    </xf>
    <xf borderId="14" fillId="6" fontId="4" numFmtId="0" xfId="0" applyAlignment="1" applyBorder="1" applyFont="1">
      <alignment horizontal="center" vertical="center"/>
    </xf>
    <xf borderId="14" fillId="6" fontId="4" numFmtId="0" xfId="0" applyAlignment="1" applyBorder="1" applyFont="1">
      <alignment horizontal="center" shrinkToFit="0" vertical="center" wrapText="1"/>
    </xf>
    <xf borderId="14" fillId="6" fontId="4" numFmtId="165" xfId="0" applyAlignment="1" applyBorder="1" applyFont="1" applyNumberFormat="1">
      <alignment horizontal="center" shrinkToFit="0" vertical="center" wrapText="1"/>
    </xf>
    <xf borderId="14" fillId="6" fontId="4" numFmtId="164" xfId="0" applyAlignment="1" applyBorder="1" applyFont="1" applyNumberFormat="1">
      <alignment horizontal="center" shrinkToFit="0" vertical="center" wrapText="1"/>
    </xf>
    <xf borderId="14" fillId="7" fontId="4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shrinkToFit="0" vertical="center" wrapText="1"/>
    </xf>
    <xf borderId="14" fillId="7" fontId="4" numFmtId="165" xfId="0" applyAlignment="1" applyBorder="1" applyFont="1" applyNumberFormat="1">
      <alignment horizontal="center" shrinkToFit="0" vertical="center" wrapText="1"/>
    </xf>
    <xf borderId="14" fillId="7" fontId="4" numFmtId="165" xfId="0" applyAlignment="1" applyBorder="1" applyFont="1" applyNumberFormat="1">
      <alignment horizontal="center" vertical="center"/>
    </xf>
    <xf borderId="14" fillId="7" fontId="4" numFmtId="164" xfId="0" applyAlignment="1" applyBorder="1" applyFont="1" applyNumberFormat="1">
      <alignment horizontal="center" shrinkToFit="0" vertical="center" wrapText="1"/>
    </xf>
    <xf borderId="14" fillId="7" fontId="4" numFmtId="164" xfId="0" applyAlignment="1" applyBorder="1" applyFont="1" applyNumberFormat="1">
      <alignment horizontal="left" shrinkToFit="0" vertical="center" wrapText="1"/>
    </xf>
    <xf borderId="14" fillId="8" fontId="4" numFmtId="0" xfId="0" applyAlignment="1" applyBorder="1" applyFont="1">
      <alignment horizontal="center" vertical="center"/>
    </xf>
    <xf borderId="14" fillId="8" fontId="4" numFmtId="0" xfId="0" applyAlignment="1" applyBorder="1" applyFont="1">
      <alignment horizontal="center" shrinkToFit="0" vertical="center" wrapText="1"/>
    </xf>
    <xf borderId="14" fillId="8" fontId="4" numFmtId="165" xfId="0" applyAlignment="1" applyBorder="1" applyFont="1" applyNumberFormat="1">
      <alignment horizontal="center" shrinkToFit="0" vertical="center" wrapText="1"/>
    </xf>
    <xf borderId="14" fillId="8" fontId="4" numFmtId="165" xfId="0" applyAlignment="1" applyBorder="1" applyFont="1" applyNumberFormat="1">
      <alignment horizontal="center" vertical="center"/>
    </xf>
    <xf borderId="14" fillId="8" fontId="4" numFmtId="164" xfId="0" applyAlignment="1" applyBorder="1" applyFont="1" applyNumberFormat="1">
      <alignment horizontal="center" shrinkToFit="0" vertical="center" wrapText="1"/>
    </xf>
    <xf borderId="32" fillId="8" fontId="4" numFmtId="164" xfId="0" applyAlignment="1" applyBorder="1" applyFont="1" applyNumberFormat="1">
      <alignment horizontal="center" shrinkToFit="0" vertical="center" wrapText="1"/>
    </xf>
    <xf borderId="14" fillId="9" fontId="2" numFmtId="0" xfId="0" applyAlignment="1" applyBorder="1" applyFont="1">
      <alignment horizontal="center" shrinkToFit="0" vertical="center" wrapText="1"/>
    </xf>
    <xf borderId="14" fillId="9" fontId="2" numFmtId="0" xfId="0" applyAlignment="1" applyBorder="1" applyFont="1">
      <alignment vertical="center"/>
    </xf>
    <xf borderId="14" fillId="9" fontId="2" numFmtId="0" xfId="0" applyAlignment="1" applyBorder="1" applyFont="1">
      <alignment shrinkToFit="0" vertical="center" wrapText="1"/>
    </xf>
    <xf borderId="11" fillId="9" fontId="2" numFmtId="0" xfId="0" applyAlignment="1" applyBorder="1" applyFont="1">
      <alignment horizontal="center" vertical="center"/>
    </xf>
    <xf borderId="14" fillId="10" fontId="4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14" fillId="11" fontId="4" numFmtId="0" xfId="0" applyAlignment="1" applyBorder="1" applyFont="1">
      <alignment horizontal="center" shrinkToFit="0" vertical="center" wrapText="1"/>
    </xf>
    <xf borderId="14" fillId="11" fontId="4" numFmtId="0" xfId="0" applyAlignment="1" applyBorder="1" applyFont="1">
      <alignment horizontal="center" vertical="center"/>
    </xf>
    <xf borderId="14" fillId="12" fontId="4" numFmtId="166" xfId="0" applyAlignment="1" applyBorder="1" applyFont="1" applyNumberFormat="1">
      <alignment horizontal="center" shrinkToFit="0" vertical="center" wrapText="1"/>
    </xf>
    <xf borderId="27" fillId="13" fontId="4" numFmtId="0" xfId="0" applyAlignment="1" applyBorder="1" applyFont="1">
      <alignment horizontal="center" shrinkToFit="0" vertical="center" wrapText="1"/>
    </xf>
    <xf borderId="27" fillId="13" fontId="4" numFmtId="0" xfId="0" applyAlignment="1" applyBorder="1" applyFont="1">
      <alignment horizontal="center" vertical="center"/>
    </xf>
    <xf borderId="14" fillId="19" fontId="4" numFmtId="0" xfId="0" applyAlignment="1" applyBorder="1" applyFont="1">
      <alignment horizontal="center" shrinkToFit="0" vertical="center" wrapText="1"/>
    </xf>
    <xf borderId="14" fillId="19" fontId="4" numFmtId="0" xfId="0" applyAlignment="1" applyBorder="1" applyFont="1">
      <alignment horizontal="center" shrinkToFit="0" vertical="top" wrapText="1"/>
    </xf>
    <xf borderId="14" fillId="15" fontId="4" numFmtId="0" xfId="0" applyAlignment="1" applyBorder="1" applyFont="1">
      <alignment horizontal="center" shrinkToFit="0" vertical="center" wrapText="1"/>
    </xf>
    <xf borderId="14" fillId="16" fontId="4" numFmtId="0" xfId="0" applyAlignment="1" applyBorder="1" applyFont="1">
      <alignment horizontal="center" shrinkToFit="0" vertical="center" wrapText="1"/>
    </xf>
    <xf borderId="14" fillId="17" fontId="4" numFmtId="0" xfId="0" applyAlignment="1" applyBorder="1" applyFont="1">
      <alignment horizontal="center" shrinkToFit="0" vertical="center" wrapText="1"/>
    </xf>
    <xf borderId="32" fillId="17" fontId="4" numFmtId="0" xfId="0" applyAlignment="1" applyBorder="1" applyFont="1">
      <alignment horizontal="center" shrinkToFit="0" vertical="center" wrapText="1"/>
    </xf>
    <xf borderId="14" fillId="0" fontId="1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6" fontId="4" numFmtId="164" xfId="0" applyAlignment="1" applyBorder="1" applyFont="1" applyNumberFormat="1">
      <alignment horizontal="left" shrinkToFit="0" vertical="center" wrapText="1"/>
    </xf>
    <xf borderId="35" fillId="6" fontId="4" numFmtId="0" xfId="0" applyAlignment="1" applyBorder="1" applyFont="1">
      <alignment horizontal="center" vertical="center"/>
    </xf>
    <xf borderId="35" fillId="6" fontId="4" numFmtId="164" xfId="0" applyAlignment="1" applyBorder="1" applyFont="1" applyNumberFormat="1">
      <alignment horizontal="center" shrinkToFit="0" vertical="center" wrapText="1"/>
    </xf>
    <xf borderId="35" fillId="7" fontId="4" numFmtId="0" xfId="0" applyAlignment="1" applyBorder="1" applyFont="1">
      <alignment horizontal="center" shrinkToFit="0" vertical="center" wrapText="1"/>
    </xf>
    <xf borderId="35" fillId="7" fontId="4" numFmtId="0" xfId="0" applyAlignment="1" applyBorder="1" applyFont="1">
      <alignment horizontal="center" vertical="center"/>
    </xf>
    <xf borderId="35" fillId="7" fontId="4" numFmtId="164" xfId="0" applyAlignment="1" applyBorder="1" applyFont="1" applyNumberFormat="1">
      <alignment horizontal="center" shrinkToFit="0" vertical="center" wrapText="1"/>
    </xf>
    <xf borderId="35" fillId="8" fontId="4" numFmtId="0" xfId="0" applyAlignment="1" applyBorder="1" applyFont="1">
      <alignment horizontal="center" shrinkToFit="0" vertical="center" wrapText="1"/>
    </xf>
    <xf borderId="35" fillId="6" fontId="4" numFmtId="0" xfId="0" applyAlignment="1" applyBorder="1" applyFont="1">
      <alignment horizontal="center" shrinkToFit="0" vertical="center" wrapText="1"/>
    </xf>
    <xf borderId="35" fillId="6" fontId="4" numFmtId="165" xfId="0" applyAlignment="1" applyBorder="1" applyFont="1" applyNumberFormat="1">
      <alignment horizontal="center" shrinkToFit="0" vertical="center" wrapText="1"/>
    </xf>
    <xf borderId="35" fillId="7" fontId="4" numFmtId="165" xfId="0" applyAlignment="1" applyBorder="1" applyFont="1" applyNumberFormat="1">
      <alignment horizontal="center" shrinkToFit="0" vertical="center" wrapText="1"/>
    </xf>
    <xf borderId="35" fillId="8" fontId="4" numFmtId="0" xfId="0" applyAlignment="1" applyBorder="1" applyFont="1">
      <alignment horizontal="center" vertical="center"/>
    </xf>
    <xf borderId="35" fillId="8" fontId="4" numFmtId="165" xfId="0" applyAlignment="1" applyBorder="1" applyFont="1" applyNumberFormat="1">
      <alignment horizontal="center" shrinkToFit="0" vertical="center" wrapText="1"/>
    </xf>
    <xf borderId="35" fillId="8" fontId="4" numFmtId="164" xfId="0" applyAlignment="1" applyBorder="1" applyFont="1" applyNumberFormat="1">
      <alignment horizontal="center" shrinkToFit="0" vertical="center" wrapText="1"/>
    </xf>
    <xf borderId="36" fillId="8" fontId="4" numFmtId="0" xfId="0" applyAlignment="1" applyBorder="1" applyFont="1">
      <alignment horizontal="center" shrinkToFit="0" vertical="center" wrapText="1"/>
    </xf>
    <xf borderId="35" fillId="9" fontId="2" numFmtId="0" xfId="0" applyAlignment="1" applyBorder="1" applyFont="1">
      <alignment horizontal="center" vertical="center"/>
    </xf>
    <xf borderId="35" fillId="9" fontId="2" numFmtId="0" xfId="0" applyAlignment="1" applyBorder="1" applyFont="1">
      <alignment horizontal="center" shrinkToFit="0" vertical="center" wrapText="1"/>
    </xf>
    <xf borderId="35" fillId="10" fontId="4" numFmtId="0" xfId="0" applyAlignment="1" applyBorder="1" applyFont="1">
      <alignment horizontal="center" shrinkToFit="0" vertical="center" wrapText="1"/>
    </xf>
    <xf borderId="35" fillId="11" fontId="4" numFmtId="0" xfId="0" applyAlignment="1" applyBorder="1" applyFont="1">
      <alignment horizontal="center" vertical="center"/>
    </xf>
    <xf borderId="35" fillId="11" fontId="4" numFmtId="0" xfId="0" applyAlignment="1" applyBorder="1" applyFont="1">
      <alignment horizontal="center" shrinkToFit="0" vertical="center" wrapText="1"/>
    </xf>
    <xf borderId="35" fillId="12" fontId="4" numFmtId="166" xfId="0" applyAlignment="1" applyBorder="1" applyFont="1" applyNumberFormat="1">
      <alignment horizontal="center" shrinkToFit="0" vertical="center" wrapText="1"/>
    </xf>
    <xf borderId="35" fillId="13" fontId="4" numFmtId="0" xfId="0" applyAlignment="1" applyBorder="1" applyFont="1">
      <alignment horizontal="center" vertical="center"/>
    </xf>
    <xf borderId="35" fillId="18" fontId="4" numFmtId="0" xfId="0" applyAlignment="1" applyBorder="1" applyFont="1">
      <alignment horizontal="center" shrinkToFit="0" vertical="center" wrapText="1"/>
    </xf>
    <xf borderId="35" fillId="19" fontId="4" numFmtId="0" xfId="0" applyAlignment="1" applyBorder="1" applyFont="1">
      <alignment horizontal="center" shrinkToFit="0" vertical="center" wrapText="1"/>
    </xf>
    <xf borderId="35" fillId="15" fontId="4" numFmtId="0" xfId="0" applyAlignment="1" applyBorder="1" applyFont="1">
      <alignment horizontal="center" shrinkToFit="0" vertical="center" wrapText="1"/>
    </xf>
    <xf borderId="35" fillId="16" fontId="4" numFmtId="0" xfId="0" applyAlignment="1" applyBorder="1" applyFont="1">
      <alignment horizontal="center" shrinkToFit="0" vertical="center" wrapText="1"/>
    </xf>
    <xf borderId="35" fillId="17" fontId="4" numFmtId="0" xfId="0" applyAlignment="1" applyBorder="1" applyFont="1">
      <alignment horizontal="center" shrinkToFit="0" vertical="center" wrapText="1"/>
    </xf>
    <xf borderId="36" fillId="17" fontId="4" numFmtId="0" xfId="0" applyAlignment="1" applyBorder="1" applyFont="1">
      <alignment horizontal="center" shrinkToFit="0" vertical="center" wrapText="1"/>
    </xf>
    <xf borderId="29" fillId="0" fontId="1" numFmtId="14" xfId="0" applyBorder="1" applyFont="1" applyNumberFormat="1"/>
    <xf borderId="14" fillId="0" fontId="1" numFmtId="0" xfId="0" applyAlignment="1" applyBorder="1" applyFont="1">
      <alignment shrinkToFit="0" wrapText="1"/>
    </xf>
    <xf borderId="14" fillId="0" fontId="1" numFmtId="2" xfId="0" applyBorder="1" applyFont="1" applyNumberFormat="1"/>
    <xf borderId="29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right"/>
    </xf>
    <xf borderId="14" fillId="0" fontId="1" numFmtId="165" xfId="0" applyBorder="1" applyFont="1" applyNumberFormat="1"/>
    <xf borderId="11" fillId="0" fontId="1" numFmtId="0" xfId="0" applyBorder="1" applyFont="1"/>
    <xf borderId="14" fillId="0" fontId="1" numFmtId="14" xfId="0" applyBorder="1" applyFont="1" applyNumberFormat="1"/>
    <xf borderId="14" fillId="0" fontId="1" numFmtId="167" xfId="0" applyBorder="1" applyFont="1" applyNumberFormat="1"/>
    <xf borderId="14" fillId="20" fontId="2" numFmtId="14" xfId="0" applyAlignment="1" applyBorder="1" applyFill="1" applyFont="1" applyNumberFormat="1">
      <alignment horizontal="center"/>
    </xf>
    <xf borderId="14" fillId="20" fontId="1" numFmtId="0" xfId="0" applyBorder="1" applyFont="1"/>
    <xf borderId="14" fillId="20" fontId="1" numFmtId="2" xfId="0" applyBorder="1" applyFont="1" applyNumberFormat="1"/>
    <xf borderId="14" fillId="20" fontId="1" numFmtId="165" xfId="0" applyBorder="1" applyFont="1" applyNumberFormat="1"/>
    <xf borderId="14" fillId="20" fontId="1" numFmtId="167" xfId="0" applyBorder="1" applyFont="1" applyNumberFormat="1"/>
    <xf borderId="14" fillId="0" fontId="5" numFmtId="0" xfId="0" applyBorder="1" applyFont="1"/>
    <xf borderId="14" fillId="20" fontId="2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4" fillId="0" fontId="7" numFmtId="0" xfId="0" applyAlignment="1" applyBorder="1" applyFont="1">
      <alignment horizontal="center"/>
    </xf>
    <xf borderId="1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9.0" ySplit="17.0" topLeftCell="T18" activePane="bottomRight" state="frozen"/>
      <selection activeCell="T1" sqref="T1" pane="topRight"/>
      <selection activeCell="A18" sqref="A18" pane="bottomLeft"/>
      <selection activeCell="T18" sqref="T18" pane="bottomRight"/>
    </sheetView>
  </sheetViews>
  <sheetFormatPr customHeight="1" defaultColWidth="12.63" defaultRowHeight="15.0"/>
  <cols>
    <col customWidth="1" min="1" max="1" width="13.25"/>
    <col customWidth="1" min="2" max="2" width="6.75"/>
    <col customWidth="1" min="3" max="3" width="9.25"/>
    <col customWidth="1" min="4" max="4" width="7.25"/>
    <col customWidth="1" min="5" max="5" width="7.13"/>
    <col customWidth="1" min="6" max="6" width="7.25"/>
    <col customWidth="1" min="7" max="7" width="13.75"/>
    <col customWidth="1" min="8" max="8" width="9.63"/>
    <col customWidth="1" min="9" max="9" width="8.25"/>
    <col customWidth="1" min="10" max="10" width="12.63"/>
    <col customWidth="1" min="11" max="11" width="9.13"/>
    <col customWidth="1" min="12" max="12" width="7.75"/>
    <col customWidth="1" min="13" max="13" width="6.88"/>
    <col customWidth="1" min="14" max="14" width="6.5"/>
    <col customWidth="1" min="15" max="15" width="5.63"/>
    <col customWidth="1" min="16" max="16" width="11.75"/>
    <col customWidth="1" min="17" max="17" width="7.63"/>
    <col customWidth="1" min="18" max="18" width="8.63"/>
    <col customWidth="1" min="19" max="19" width="8.88"/>
    <col customWidth="1" min="20" max="20" width="7.63"/>
    <col customWidth="1" min="21" max="21" width="7.75"/>
    <col customWidth="1" min="22" max="22" width="9.88"/>
    <col customWidth="1" min="23" max="23" width="7.63"/>
    <col customWidth="1" min="24" max="24" width="7.75"/>
    <col customWidth="1" min="25" max="25" width="8.88"/>
    <col customWidth="1" min="26" max="26" width="7.63"/>
    <col customWidth="1" min="27" max="27" width="4.13"/>
    <col customWidth="1" min="28" max="28" width="10.5"/>
    <col customWidth="1" min="29" max="29" width="7.63"/>
    <col customWidth="1" min="30" max="30" width="7.25"/>
    <col customWidth="1" min="31" max="31" width="11.63"/>
    <col customWidth="1" min="32" max="33" width="7.25"/>
    <col customWidth="1" min="34" max="34" width="5.75"/>
    <col customWidth="1" min="35" max="35" width="5.63"/>
    <col customWidth="1" min="36" max="36" width="8.13"/>
    <col customWidth="1" min="37" max="37" width="7.25"/>
    <col customWidth="1" min="38" max="38" width="5.5"/>
    <col customWidth="1" min="39" max="39" width="8.75"/>
    <col customWidth="1" min="40" max="40" width="8.0"/>
    <col customWidth="1" min="41" max="41" width="7.13"/>
    <col customWidth="1" min="42" max="42" width="10.13"/>
    <col customWidth="1" min="43" max="43" width="5.25"/>
    <col customWidth="1" min="44" max="44" width="4.63"/>
    <col customWidth="1" min="45" max="45" width="9.63"/>
    <col customWidth="1" min="46" max="46" width="6.13"/>
    <col customWidth="1" min="47" max="47" width="8.0"/>
    <col customWidth="1" min="48" max="48" width="8.88"/>
    <col customWidth="1" min="49" max="49" width="7.75"/>
    <col customWidth="1" min="50" max="50" width="5.75"/>
    <col customWidth="1" min="51" max="51" width="5.63"/>
    <col customWidth="1" min="52" max="52" width="8.13"/>
    <col customWidth="1" min="53" max="53" width="7.5"/>
    <col customWidth="1" min="54" max="54" width="5.13"/>
    <col customWidth="1" min="55" max="55" width="8.63"/>
    <col customWidth="1" min="56" max="56" width="9.25"/>
    <col customWidth="1" min="57" max="57" width="7.75"/>
    <col customWidth="1" min="58" max="58" width="9.38"/>
    <col customWidth="1" min="59" max="59" width="9.25"/>
    <col customWidth="1" min="60" max="60" width="4.63"/>
    <col customWidth="1" min="61" max="61" width="9.75"/>
    <col customWidth="1" min="62" max="62" width="5.5"/>
    <col customWidth="1" min="63" max="63" width="6.75"/>
    <col customWidth="1" min="64" max="65" width="8.88"/>
    <col customWidth="1" min="66" max="66" width="5.75"/>
    <col customWidth="1" min="67" max="67" width="5.63"/>
    <col customWidth="1" min="68" max="68" width="8.13"/>
    <col customWidth="1" min="69" max="69" width="8.25"/>
    <col customWidth="1" min="70" max="70" width="6.63"/>
    <col customWidth="1" min="71" max="71" width="8.38"/>
    <col customWidth="1" min="72" max="72" width="8.75"/>
    <col customWidth="1" min="73" max="73" width="6.88"/>
    <col customWidth="1" min="74" max="74" width="7.5"/>
    <col customWidth="1" min="75" max="75" width="5.25"/>
    <col customWidth="1" min="76" max="76" width="4.63"/>
    <col customWidth="1" min="77" max="77" width="9.63"/>
    <col customWidth="1" min="78" max="78" width="6.38"/>
    <col customWidth="1" min="79" max="79" width="6.75"/>
    <col customWidth="1" min="80" max="81" width="8.88"/>
    <col customWidth="1" min="82" max="82" width="13.25"/>
    <col customWidth="1" min="83" max="83" width="10.25"/>
    <col customWidth="1" min="84" max="84" width="8.63"/>
    <col customWidth="1" min="85" max="85" width="10.88"/>
    <col customWidth="1" min="86" max="86" width="10.5"/>
    <col customWidth="1" min="87" max="87" width="6.88"/>
    <col customWidth="1" min="88" max="88" width="6.75"/>
    <col customWidth="1" min="89" max="89" width="8.88"/>
    <col customWidth="1" min="90" max="90" width="6.0"/>
    <col customWidth="1" min="91" max="91" width="5.75"/>
    <col customWidth="1" min="92" max="92" width="9.5"/>
    <col customWidth="1" min="93" max="95" width="7.25"/>
    <col customWidth="1" min="96" max="96" width="10.0"/>
    <col customWidth="1" min="97" max="97" width="5.63"/>
    <col customWidth="1" min="98" max="98" width="7.75"/>
    <col customWidth="1" min="99" max="100" width="5.75"/>
    <col customWidth="1" min="101" max="101" width="4.25"/>
    <col customWidth="1" min="102" max="103" width="4.75"/>
    <col customWidth="1" min="104" max="104" width="10.63"/>
    <col customWidth="1" min="105" max="106" width="6.38"/>
    <col customWidth="1" min="107" max="107" width="15.88"/>
    <col customWidth="1" min="108" max="108" width="6.5"/>
    <col customWidth="1" min="109" max="109" width="4.5"/>
    <col customWidth="1" min="110" max="110" width="10.13"/>
    <col customWidth="1" min="111" max="111" width="7.25"/>
    <col customWidth="1" min="112" max="112" width="8.63"/>
    <col customWidth="1" min="113" max="113" width="7.75"/>
    <col customWidth="1" min="114" max="116" width="8.88"/>
    <col customWidth="1" min="117" max="117" width="12.5"/>
    <col customWidth="1" min="118" max="118" width="15.75"/>
    <col customWidth="1" min="119" max="119" width="5.75"/>
    <col customWidth="1" min="120" max="120" width="8.25"/>
    <col customWidth="1" min="121" max="121" width="7.5"/>
    <col customWidth="1" min="122" max="122" width="9.25"/>
    <col customWidth="1" min="123" max="123" width="9.38"/>
    <col customWidth="1" min="124" max="124" width="11.88"/>
    <col customWidth="1" min="125" max="125" width="7.5"/>
    <col customWidth="1" min="126" max="126" width="10.13"/>
    <col customWidth="1" min="127" max="127" width="10.88"/>
    <col customWidth="1" min="128" max="128" width="13.38"/>
    <col customWidth="1" min="129" max="132" width="8.88"/>
    <col customWidth="1" min="133" max="133" width="11.13"/>
    <col customWidth="1" min="134" max="134" width="9.5"/>
    <col customWidth="1" min="135" max="137" width="8.88"/>
    <col customWidth="1" min="138" max="138" width="9.88"/>
    <col customWidth="1" min="139" max="139" width="10.5"/>
    <col customWidth="1" min="140" max="141" width="8.88"/>
    <col customWidth="1" min="142" max="142" width="47.13"/>
  </cols>
  <sheetData>
    <row r="1" ht="17.25" customHeight="1">
      <c r="A1" s="1"/>
      <c r="B1" s="1"/>
      <c r="C1" s="2" t="s">
        <v>0</v>
      </c>
      <c r="D1" s="3"/>
      <c r="E1" s="3"/>
      <c r="F1" s="3"/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5"/>
      <c r="AU1" s="5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</row>
    <row r="2" ht="17.25" customHeight="1">
      <c r="A2" s="1"/>
      <c r="B2" s="1"/>
      <c r="C2" s="6" t="s">
        <v>1</v>
      </c>
      <c r="D2" s="7" t="s">
        <v>2</v>
      </c>
      <c r="E2" s="8"/>
      <c r="F2" s="8"/>
      <c r="G2" s="9"/>
      <c r="H2" s="10" t="s">
        <v>3</v>
      </c>
      <c r="I2" s="11" t="s">
        <v>4</v>
      </c>
      <c r="J2" s="1"/>
      <c r="K2" s="1"/>
      <c r="L2" s="1"/>
      <c r="M2" s="1"/>
      <c r="N2" s="12"/>
      <c r="O2" s="12"/>
      <c r="P2" s="12"/>
      <c r="Q2" s="12"/>
      <c r="R2" s="12"/>
      <c r="S2" s="13"/>
      <c r="T2" s="13"/>
      <c r="U2" s="13"/>
      <c r="V2" s="1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5"/>
      <c r="AU2" s="5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5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5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</row>
    <row r="3" ht="17.25" customHeight="1">
      <c r="A3" s="1"/>
      <c r="B3" s="1"/>
      <c r="C3" s="14">
        <v>1.0</v>
      </c>
      <c r="D3" s="15" t="s">
        <v>5</v>
      </c>
      <c r="E3" s="16"/>
      <c r="F3" s="16"/>
      <c r="G3" s="17"/>
      <c r="H3" s="18" t="s">
        <v>6</v>
      </c>
      <c r="I3" s="19">
        <v>0.0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5"/>
      <c r="AU3" s="5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5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5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</row>
    <row r="4" ht="17.25" customHeight="1">
      <c r="A4" s="1"/>
      <c r="B4" s="1"/>
      <c r="C4" s="14">
        <v>2.0</v>
      </c>
      <c r="D4" s="15" t="s">
        <v>7</v>
      </c>
      <c r="E4" s="16"/>
      <c r="F4" s="16"/>
      <c r="G4" s="17"/>
      <c r="H4" s="18" t="s">
        <v>6</v>
      </c>
      <c r="I4" s="19">
        <f>I3-SUM(B20:B50)</f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5"/>
      <c r="AU4" s="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5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5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</row>
    <row r="5" ht="17.25" customHeight="1">
      <c r="A5" s="1"/>
      <c r="B5" s="1"/>
      <c r="C5" s="14">
        <v>3.0</v>
      </c>
      <c r="D5" s="15" t="s">
        <v>8</v>
      </c>
      <c r="E5" s="16"/>
      <c r="F5" s="16"/>
      <c r="G5" s="17"/>
      <c r="H5" s="18" t="s">
        <v>6</v>
      </c>
      <c r="I5" s="19">
        <v>555.0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5"/>
      <c r="AU5" s="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5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5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</row>
    <row r="6" ht="17.25" customHeight="1">
      <c r="A6" s="1"/>
      <c r="B6" s="1"/>
      <c r="C6" s="14">
        <v>4.0</v>
      </c>
      <c r="D6" s="15" t="s">
        <v>9</v>
      </c>
      <c r="E6" s="16"/>
      <c r="F6" s="16"/>
      <c r="G6" s="17"/>
      <c r="H6" s="18" t="s">
        <v>6</v>
      </c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5"/>
      <c r="AU6" s="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5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5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</row>
    <row r="7" ht="17.25" customHeight="1">
      <c r="A7" s="1"/>
      <c r="B7" s="1"/>
      <c r="C7" s="20">
        <v>5.0</v>
      </c>
      <c r="D7" s="21" t="s">
        <v>10</v>
      </c>
      <c r="E7" s="16"/>
      <c r="F7" s="16"/>
      <c r="G7" s="17"/>
      <c r="H7" s="22" t="s">
        <v>6</v>
      </c>
      <c r="I7" s="19">
        <v>285.0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5"/>
      <c r="AU7" s="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5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5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</row>
    <row r="8" ht="17.25" customHeight="1">
      <c r="A8" s="1"/>
      <c r="B8" s="1"/>
      <c r="C8" s="14">
        <v>6.0</v>
      </c>
      <c r="D8" s="15" t="s">
        <v>11</v>
      </c>
      <c r="E8" s="16"/>
      <c r="F8" s="16"/>
      <c r="G8" s="17"/>
      <c r="H8" s="18" t="s">
        <v>6</v>
      </c>
      <c r="I8" s="19">
        <f>I7-285</f>
        <v>0</v>
      </c>
      <c r="J8" s="1"/>
      <c r="K8" s="1"/>
      <c r="L8" s="1"/>
      <c r="M8" s="1"/>
      <c r="N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5"/>
      <c r="AU8" s="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5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5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</row>
    <row r="9" ht="17.25" customHeight="1">
      <c r="A9" s="1"/>
      <c r="B9" s="1"/>
      <c r="C9" s="14">
        <v>7.0</v>
      </c>
      <c r="D9" s="15" t="s">
        <v>12</v>
      </c>
      <c r="E9" s="16"/>
      <c r="F9" s="16"/>
      <c r="G9" s="17"/>
      <c r="H9" s="18" t="s">
        <v>6</v>
      </c>
      <c r="I9" s="19">
        <v>27852.0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5"/>
      <c r="AU9" s="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5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5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</row>
    <row r="10" ht="17.25" customHeight="1">
      <c r="A10" s="1"/>
      <c r="B10" s="1"/>
      <c r="C10" s="14">
        <v>8.0</v>
      </c>
      <c r="D10" s="24" t="s">
        <v>13</v>
      </c>
      <c r="E10" s="16"/>
      <c r="F10" s="16"/>
      <c r="G10" s="17"/>
      <c r="H10" s="18" t="s">
        <v>6</v>
      </c>
      <c r="I10" s="19">
        <f>E48+E49+E50+E83+E116+E149</f>
        <v>7450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5"/>
      <c r="AU10" s="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5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5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</row>
    <row r="11" ht="17.25" customHeight="1">
      <c r="A11" s="1"/>
      <c r="B11" s="1"/>
      <c r="C11" s="14">
        <v>9.0</v>
      </c>
      <c r="D11" s="15" t="s">
        <v>14</v>
      </c>
      <c r="E11" s="16"/>
      <c r="F11" s="16"/>
      <c r="G11" s="17"/>
      <c r="H11" s="18" t="s">
        <v>6</v>
      </c>
      <c r="I11" s="19">
        <f>I9-I10</f>
        <v>20402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5"/>
      <c r="AU11" s="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5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5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</row>
    <row r="12" ht="17.25" customHeight="1">
      <c r="A12" s="1"/>
      <c r="B12" s="1"/>
      <c r="C12" s="25">
        <v>10.0</v>
      </c>
      <c r="D12" s="26" t="s">
        <v>15</v>
      </c>
      <c r="E12" s="27"/>
      <c r="F12" s="27"/>
      <c r="G12" s="27"/>
      <c r="H12" s="27"/>
      <c r="I12" s="2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5"/>
      <c r="AU12" s="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5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5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</row>
    <row r="13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5"/>
      <c r="AU13" s="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5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5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5"/>
      <c r="AU14" s="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5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5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5"/>
      <c r="AU15" s="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5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5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</row>
    <row r="16" ht="17.25" customHeight="1">
      <c r="A16" s="29" t="s">
        <v>16</v>
      </c>
      <c r="B16" s="30" t="s">
        <v>17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33" t="s">
        <v>18</v>
      </c>
      <c r="Q16" s="31"/>
      <c r="R16" s="31"/>
      <c r="S16" s="31"/>
      <c r="T16" s="31"/>
      <c r="U16" s="32"/>
      <c r="V16" s="34" t="s">
        <v>19</v>
      </c>
      <c r="W16" s="31"/>
      <c r="X16" s="31"/>
      <c r="Y16" s="31"/>
      <c r="Z16" s="31"/>
      <c r="AA16" s="32"/>
      <c r="AB16" s="35" t="s">
        <v>20</v>
      </c>
      <c r="AC16" s="31"/>
      <c r="AD16" s="31"/>
      <c r="AE16" s="31"/>
      <c r="AF16" s="31"/>
      <c r="AG16" s="32"/>
      <c r="AH16" s="36" t="s">
        <v>18</v>
      </c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2"/>
      <c r="AX16" s="37" t="s">
        <v>19</v>
      </c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2"/>
      <c r="BN16" s="38" t="s">
        <v>20</v>
      </c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2"/>
      <c r="CD16" s="39" t="s">
        <v>21</v>
      </c>
      <c r="CE16" s="31"/>
      <c r="CF16" s="31"/>
      <c r="CG16" s="31"/>
      <c r="CH16" s="31"/>
      <c r="CI16" s="31"/>
      <c r="CJ16" s="31"/>
      <c r="CK16" s="31"/>
      <c r="CL16" s="31"/>
      <c r="CM16" s="31"/>
      <c r="CN16" s="32"/>
      <c r="CO16" s="40" t="s">
        <v>22</v>
      </c>
      <c r="CP16" s="31"/>
      <c r="CQ16" s="31"/>
      <c r="CR16" s="31"/>
      <c r="CS16" s="31"/>
      <c r="CT16" s="31"/>
      <c r="CU16" s="31"/>
      <c r="CV16" s="31"/>
      <c r="CW16" s="31"/>
      <c r="CX16" s="31"/>
      <c r="CY16" s="32"/>
      <c r="CZ16" s="41" t="s">
        <v>23</v>
      </c>
      <c r="DA16" s="31"/>
      <c r="DB16" s="31"/>
      <c r="DC16" s="31"/>
      <c r="DD16" s="31"/>
      <c r="DE16" s="31"/>
      <c r="DF16" s="31"/>
      <c r="DG16" s="31"/>
      <c r="DH16" s="31"/>
      <c r="DI16" s="32"/>
      <c r="DJ16" s="42" t="s">
        <v>24</v>
      </c>
      <c r="DK16" s="31"/>
      <c r="DL16" s="32"/>
      <c r="DM16" s="43" t="s">
        <v>25</v>
      </c>
      <c r="DN16" s="31"/>
      <c r="DO16" s="31"/>
      <c r="DP16" s="31"/>
      <c r="DQ16" s="31"/>
      <c r="DR16" s="31"/>
      <c r="DS16" s="31"/>
      <c r="DT16" s="31"/>
      <c r="DU16" s="32"/>
      <c r="DV16" s="44" t="s">
        <v>26</v>
      </c>
      <c r="DW16" s="31"/>
      <c r="DX16" s="32"/>
      <c r="DY16" s="45" t="s">
        <v>27</v>
      </c>
      <c r="DZ16" s="31"/>
      <c r="EA16" s="32"/>
      <c r="EB16" s="46" t="s">
        <v>28</v>
      </c>
      <c r="EC16" s="31"/>
      <c r="ED16" s="32"/>
      <c r="EE16" s="47" t="s">
        <v>29</v>
      </c>
      <c r="EF16" s="31"/>
      <c r="EG16" s="31"/>
      <c r="EH16" s="31"/>
      <c r="EI16" s="31"/>
      <c r="EJ16" s="31"/>
      <c r="EK16" s="32"/>
      <c r="EL16" s="48" t="s">
        <v>30</v>
      </c>
    </row>
    <row r="17" ht="17.25" customHeight="1">
      <c r="A17" s="49"/>
      <c r="B17" s="50" t="s">
        <v>31</v>
      </c>
      <c r="C17" s="8"/>
      <c r="D17" s="9"/>
      <c r="E17" s="51" t="s">
        <v>32</v>
      </c>
      <c r="F17" s="8"/>
      <c r="G17" s="9"/>
      <c r="H17" s="51" t="s">
        <v>33</v>
      </c>
      <c r="I17" s="8"/>
      <c r="J17" s="9"/>
      <c r="K17" s="52" t="s">
        <v>34</v>
      </c>
      <c r="L17" s="53" t="s">
        <v>35</v>
      </c>
      <c r="M17" s="8"/>
      <c r="N17" s="8"/>
      <c r="O17" s="9"/>
      <c r="P17" s="54" t="s">
        <v>36</v>
      </c>
      <c r="Q17" s="8"/>
      <c r="R17" s="8"/>
      <c r="S17" s="8"/>
      <c r="T17" s="8"/>
      <c r="U17" s="9"/>
      <c r="V17" s="55" t="s">
        <v>37</v>
      </c>
      <c r="W17" s="8"/>
      <c r="X17" s="8"/>
      <c r="Y17" s="8"/>
      <c r="Z17" s="8"/>
      <c r="AA17" s="9"/>
      <c r="AB17" s="56" t="s">
        <v>38</v>
      </c>
      <c r="AC17" s="8"/>
      <c r="AD17" s="8"/>
      <c r="AE17" s="8"/>
      <c r="AF17" s="8"/>
      <c r="AG17" s="9"/>
      <c r="AH17" s="54" t="s">
        <v>39</v>
      </c>
      <c r="AI17" s="8"/>
      <c r="AJ17" s="8"/>
      <c r="AK17" s="8"/>
      <c r="AL17" s="8"/>
      <c r="AM17" s="9"/>
      <c r="AN17" s="54" t="s">
        <v>40</v>
      </c>
      <c r="AO17" s="8"/>
      <c r="AP17" s="8"/>
      <c r="AQ17" s="8"/>
      <c r="AR17" s="8"/>
      <c r="AS17" s="8"/>
      <c r="AT17" s="8"/>
      <c r="AU17" s="8"/>
      <c r="AV17" s="8"/>
      <c r="AW17" s="9"/>
      <c r="AX17" s="55" t="s">
        <v>41</v>
      </c>
      <c r="AY17" s="8"/>
      <c r="AZ17" s="8"/>
      <c r="BA17" s="8"/>
      <c r="BB17" s="8"/>
      <c r="BC17" s="9"/>
      <c r="BD17" s="55" t="s">
        <v>42</v>
      </c>
      <c r="BE17" s="8"/>
      <c r="BF17" s="8"/>
      <c r="BG17" s="8"/>
      <c r="BH17" s="8"/>
      <c r="BI17" s="8"/>
      <c r="BJ17" s="8"/>
      <c r="BK17" s="8"/>
      <c r="BL17" s="8"/>
      <c r="BM17" s="9"/>
      <c r="BN17" s="56" t="s">
        <v>43</v>
      </c>
      <c r="BO17" s="8"/>
      <c r="BP17" s="8"/>
      <c r="BQ17" s="8"/>
      <c r="BR17" s="8"/>
      <c r="BS17" s="9"/>
      <c r="BT17" s="56" t="s">
        <v>44</v>
      </c>
      <c r="BU17" s="8"/>
      <c r="BV17" s="8"/>
      <c r="BW17" s="8"/>
      <c r="BX17" s="8"/>
      <c r="BY17" s="8"/>
      <c r="BZ17" s="8"/>
      <c r="CA17" s="8"/>
      <c r="CB17" s="8"/>
      <c r="CC17" s="9"/>
      <c r="CD17" s="57" t="s">
        <v>45</v>
      </c>
      <c r="CE17" s="8"/>
      <c r="CF17" s="8"/>
      <c r="CG17" s="8"/>
      <c r="CH17" s="8"/>
      <c r="CI17" s="8"/>
      <c r="CJ17" s="8"/>
      <c r="CK17" s="8"/>
      <c r="CL17" s="8"/>
      <c r="CM17" s="8"/>
      <c r="CN17" s="9"/>
      <c r="CO17" s="58" t="s">
        <v>46</v>
      </c>
      <c r="CP17" s="8"/>
      <c r="CQ17" s="9"/>
      <c r="CR17" s="59" t="s">
        <v>47</v>
      </c>
      <c r="CS17" s="59" t="s">
        <v>48</v>
      </c>
      <c r="CT17" s="59" t="s">
        <v>49</v>
      </c>
      <c r="CU17" s="58" t="s">
        <v>50</v>
      </c>
      <c r="CV17" s="8"/>
      <c r="CW17" s="8"/>
      <c r="CX17" s="8"/>
      <c r="CY17" s="9"/>
      <c r="CZ17" s="60" t="s">
        <v>51</v>
      </c>
      <c r="DA17" s="8"/>
      <c r="DB17" s="8"/>
      <c r="DC17" s="8"/>
      <c r="DD17" s="8"/>
      <c r="DE17" s="9"/>
      <c r="DF17" s="61" t="s">
        <v>52</v>
      </c>
      <c r="DG17" s="61" t="s">
        <v>53</v>
      </c>
      <c r="DH17" s="61" t="s">
        <v>54</v>
      </c>
      <c r="DI17" s="62" t="s">
        <v>55</v>
      </c>
      <c r="DJ17" s="63" t="s">
        <v>56</v>
      </c>
      <c r="DK17" s="8"/>
      <c r="DL17" s="9"/>
      <c r="DM17" s="64" t="s">
        <v>57</v>
      </c>
      <c r="DN17" s="8"/>
      <c r="DO17" s="8"/>
      <c r="DP17" s="8"/>
      <c r="DQ17" s="9"/>
      <c r="DR17" s="64" t="s">
        <v>58</v>
      </c>
      <c r="DS17" s="9"/>
      <c r="DT17" s="64" t="s">
        <v>59</v>
      </c>
      <c r="DU17" s="9"/>
      <c r="DV17" s="65" t="s">
        <v>60</v>
      </c>
      <c r="DW17" s="66" t="s">
        <v>61</v>
      </c>
      <c r="DX17" s="9"/>
      <c r="DY17" s="67"/>
      <c r="DZ17" s="8"/>
      <c r="EA17" s="9"/>
      <c r="EB17" s="68"/>
      <c r="EC17" s="8"/>
      <c r="ED17" s="9"/>
      <c r="EE17" s="69"/>
      <c r="EF17" s="8"/>
      <c r="EG17" s="8"/>
      <c r="EH17" s="8"/>
      <c r="EI17" s="8"/>
      <c r="EJ17" s="8"/>
      <c r="EK17" s="9"/>
      <c r="EL17" s="70"/>
    </row>
    <row r="18" ht="17.25" customHeight="1">
      <c r="A18" s="49"/>
      <c r="B18" s="71" t="s">
        <v>62</v>
      </c>
      <c r="C18" s="72" t="s">
        <v>63</v>
      </c>
      <c r="D18" s="72" t="s">
        <v>64</v>
      </c>
      <c r="E18" s="73" t="s">
        <v>65</v>
      </c>
      <c r="F18" s="72" t="s">
        <v>63</v>
      </c>
      <c r="G18" s="72" t="s">
        <v>64</v>
      </c>
      <c r="H18" s="74" t="s">
        <v>66</v>
      </c>
      <c r="I18" s="74" t="s">
        <v>67</v>
      </c>
      <c r="J18" s="74" t="s">
        <v>68</v>
      </c>
      <c r="K18" s="73" t="s">
        <v>69</v>
      </c>
      <c r="L18" s="74" t="s">
        <v>70</v>
      </c>
      <c r="M18" s="74" t="s">
        <v>71</v>
      </c>
      <c r="N18" s="74" t="s">
        <v>72</v>
      </c>
      <c r="O18" s="72" t="s">
        <v>73</v>
      </c>
      <c r="P18" s="75" t="s">
        <v>74</v>
      </c>
      <c r="Q18" s="16"/>
      <c r="R18" s="17"/>
      <c r="S18" s="75" t="s">
        <v>75</v>
      </c>
      <c r="T18" s="16"/>
      <c r="U18" s="17"/>
      <c r="V18" s="76" t="s">
        <v>76</v>
      </c>
      <c r="W18" s="16"/>
      <c r="X18" s="17"/>
      <c r="Y18" s="76" t="s">
        <v>75</v>
      </c>
      <c r="Z18" s="16"/>
      <c r="AA18" s="17"/>
      <c r="AB18" s="77" t="s">
        <v>76</v>
      </c>
      <c r="AC18" s="16"/>
      <c r="AD18" s="17"/>
      <c r="AE18" s="77" t="s">
        <v>77</v>
      </c>
      <c r="AF18" s="16"/>
      <c r="AG18" s="17"/>
      <c r="AH18" s="78" t="s">
        <v>78</v>
      </c>
      <c r="AI18" s="78" t="s">
        <v>79</v>
      </c>
      <c r="AJ18" s="78" t="s">
        <v>80</v>
      </c>
      <c r="AK18" s="79" t="s">
        <v>81</v>
      </c>
      <c r="AL18" s="78" t="s">
        <v>82</v>
      </c>
      <c r="AM18" s="78" t="s">
        <v>83</v>
      </c>
      <c r="AN18" s="78" t="s">
        <v>84</v>
      </c>
      <c r="AO18" s="79" t="s">
        <v>85</v>
      </c>
      <c r="AP18" s="80" t="s">
        <v>86</v>
      </c>
      <c r="AQ18" s="79" t="s">
        <v>87</v>
      </c>
      <c r="AR18" s="78" t="s">
        <v>88</v>
      </c>
      <c r="AS18" s="79" t="s">
        <v>89</v>
      </c>
      <c r="AT18" s="79" t="s">
        <v>90</v>
      </c>
      <c r="AU18" s="81" t="s">
        <v>91</v>
      </c>
      <c r="AV18" s="81" t="s">
        <v>92</v>
      </c>
      <c r="AW18" s="81" t="s">
        <v>93</v>
      </c>
      <c r="AX18" s="82" t="s">
        <v>78</v>
      </c>
      <c r="AY18" s="82" t="s">
        <v>79</v>
      </c>
      <c r="AZ18" s="82" t="s">
        <v>80</v>
      </c>
      <c r="BA18" s="83" t="s">
        <v>94</v>
      </c>
      <c r="BB18" s="82" t="s">
        <v>82</v>
      </c>
      <c r="BC18" s="82" t="s">
        <v>83</v>
      </c>
      <c r="BD18" s="82" t="s">
        <v>95</v>
      </c>
      <c r="BE18" s="83" t="s">
        <v>96</v>
      </c>
      <c r="BF18" s="84" t="s">
        <v>86</v>
      </c>
      <c r="BG18" s="83" t="s">
        <v>87</v>
      </c>
      <c r="BH18" s="82" t="s">
        <v>88</v>
      </c>
      <c r="BI18" s="83" t="s">
        <v>97</v>
      </c>
      <c r="BJ18" s="83" t="s">
        <v>90</v>
      </c>
      <c r="BK18" s="85" t="s">
        <v>91</v>
      </c>
      <c r="BL18" s="86" t="s">
        <v>92</v>
      </c>
      <c r="BM18" s="87" t="s">
        <v>98</v>
      </c>
      <c r="BN18" s="88" t="s">
        <v>78</v>
      </c>
      <c r="BO18" s="88" t="s">
        <v>79</v>
      </c>
      <c r="BP18" s="88" t="s">
        <v>80</v>
      </c>
      <c r="BQ18" s="89" t="s">
        <v>94</v>
      </c>
      <c r="BR18" s="88" t="s">
        <v>82</v>
      </c>
      <c r="BS18" s="88" t="s">
        <v>83</v>
      </c>
      <c r="BT18" s="88" t="s">
        <v>99</v>
      </c>
      <c r="BU18" s="89" t="s">
        <v>96</v>
      </c>
      <c r="BV18" s="90" t="s">
        <v>86</v>
      </c>
      <c r="BW18" s="89" t="s">
        <v>87</v>
      </c>
      <c r="BX18" s="88" t="s">
        <v>88</v>
      </c>
      <c r="BY18" s="89" t="s">
        <v>97</v>
      </c>
      <c r="BZ18" s="89" t="s">
        <v>90</v>
      </c>
      <c r="CA18" s="91" t="s">
        <v>91</v>
      </c>
      <c r="CB18" s="92" t="s">
        <v>92</v>
      </c>
      <c r="CC18" s="93" t="s">
        <v>100</v>
      </c>
      <c r="CD18" s="94" t="s">
        <v>101</v>
      </c>
      <c r="CE18" s="94" t="s">
        <v>102</v>
      </c>
      <c r="CF18" s="95" t="s">
        <v>103</v>
      </c>
      <c r="CG18" s="96" t="s">
        <v>104</v>
      </c>
      <c r="CH18" s="97" t="s">
        <v>105</v>
      </c>
      <c r="CI18" s="16"/>
      <c r="CJ18" s="17"/>
      <c r="CK18" s="97" t="s">
        <v>106</v>
      </c>
      <c r="CL18" s="16"/>
      <c r="CM18" s="16"/>
      <c r="CN18" s="17"/>
      <c r="CO18" s="98" t="s">
        <v>107</v>
      </c>
      <c r="CP18" s="98" t="s">
        <v>108</v>
      </c>
      <c r="CQ18" s="98" t="s">
        <v>109</v>
      </c>
      <c r="CR18" s="99"/>
      <c r="CS18" s="99"/>
      <c r="CT18" s="99"/>
      <c r="CU18" s="98" t="s">
        <v>110</v>
      </c>
      <c r="CV18" s="98" t="s">
        <v>111</v>
      </c>
      <c r="CW18" s="98" t="s">
        <v>112</v>
      </c>
      <c r="CX18" s="98" t="s">
        <v>113</v>
      </c>
      <c r="CY18" s="98" t="s">
        <v>114</v>
      </c>
      <c r="CZ18" s="100" t="s">
        <v>115</v>
      </c>
      <c r="DA18" s="101" t="s">
        <v>110</v>
      </c>
      <c r="DB18" s="101" t="s">
        <v>111</v>
      </c>
      <c r="DC18" s="101" t="s">
        <v>112</v>
      </c>
      <c r="DD18" s="101" t="s">
        <v>116</v>
      </c>
      <c r="DE18" s="101" t="s">
        <v>117</v>
      </c>
      <c r="DF18" s="99"/>
      <c r="DG18" s="99"/>
      <c r="DH18" s="99"/>
      <c r="DI18" s="99"/>
      <c r="DJ18" s="102" t="s">
        <v>118</v>
      </c>
      <c r="DK18" s="102" t="s">
        <v>119</v>
      </c>
      <c r="DL18" s="102" t="s">
        <v>120</v>
      </c>
      <c r="DM18" s="103" t="s">
        <v>121</v>
      </c>
      <c r="DN18" s="104" t="s">
        <v>122</v>
      </c>
      <c r="DO18" s="104" t="s">
        <v>123</v>
      </c>
      <c r="DP18" s="104" t="s">
        <v>124</v>
      </c>
      <c r="DQ18" s="103" t="s">
        <v>125</v>
      </c>
      <c r="DR18" s="103" t="s">
        <v>126</v>
      </c>
      <c r="DS18" s="103" t="s">
        <v>127</v>
      </c>
      <c r="DT18" s="103" t="s">
        <v>59</v>
      </c>
      <c r="DU18" s="103" t="s">
        <v>128</v>
      </c>
      <c r="DV18" s="99"/>
      <c r="DW18" s="105" t="s">
        <v>129</v>
      </c>
      <c r="DX18" s="106" t="s">
        <v>130</v>
      </c>
      <c r="DY18" s="107" t="s">
        <v>131</v>
      </c>
      <c r="DZ18" s="107" t="s">
        <v>132</v>
      </c>
      <c r="EA18" s="107" t="s">
        <v>133</v>
      </c>
      <c r="EB18" s="108" t="s">
        <v>134</v>
      </c>
      <c r="EC18" s="108" t="s">
        <v>135</v>
      </c>
      <c r="ED18" s="108" t="s">
        <v>136</v>
      </c>
      <c r="EE18" s="109" t="s">
        <v>137</v>
      </c>
      <c r="EF18" s="109" t="s">
        <v>138</v>
      </c>
      <c r="EG18" s="109" t="s">
        <v>139</v>
      </c>
      <c r="EH18" s="109" t="s">
        <v>140</v>
      </c>
      <c r="EI18" s="109" t="s">
        <v>141</v>
      </c>
      <c r="EJ18" s="109" t="s">
        <v>142</v>
      </c>
      <c r="EK18" s="110" t="s">
        <v>143</v>
      </c>
      <c r="EL18" s="111"/>
    </row>
    <row r="19" ht="17.25" customHeight="1">
      <c r="A19" s="112"/>
      <c r="B19" s="113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14" t="s">
        <v>144</v>
      </c>
      <c r="Q19" s="115" t="s">
        <v>145</v>
      </c>
      <c r="R19" s="115" t="s">
        <v>146</v>
      </c>
      <c r="S19" s="116" t="s">
        <v>147</v>
      </c>
      <c r="T19" s="115" t="s">
        <v>145</v>
      </c>
      <c r="U19" s="115" t="s">
        <v>146</v>
      </c>
      <c r="V19" s="117" t="s">
        <v>148</v>
      </c>
      <c r="W19" s="118" t="s">
        <v>145</v>
      </c>
      <c r="X19" s="118" t="s">
        <v>146</v>
      </c>
      <c r="Y19" s="119" t="s">
        <v>147</v>
      </c>
      <c r="Z19" s="117" t="s">
        <v>145</v>
      </c>
      <c r="AA19" s="117" t="s">
        <v>146</v>
      </c>
      <c r="AB19" s="120" t="s">
        <v>148</v>
      </c>
      <c r="AC19" s="120" t="s">
        <v>149</v>
      </c>
      <c r="AD19" s="120" t="s">
        <v>64</v>
      </c>
      <c r="AE19" s="120" t="s">
        <v>147</v>
      </c>
      <c r="AF19" s="120" t="s">
        <v>63</v>
      </c>
      <c r="AG19" s="120" t="s">
        <v>64</v>
      </c>
      <c r="AH19" s="115" t="s">
        <v>150</v>
      </c>
      <c r="AI19" s="115" t="s">
        <v>151</v>
      </c>
      <c r="AJ19" s="115" t="s">
        <v>151</v>
      </c>
      <c r="AK19" s="115"/>
      <c r="AL19" s="115" t="s">
        <v>150</v>
      </c>
      <c r="AM19" s="115" t="s">
        <v>152</v>
      </c>
      <c r="AN19" s="115"/>
      <c r="AO19" s="121" t="s">
        <v>153</v>
      </c>
      <c r="AP19" s="122" t="s">
        <v>154</v>
      </c>
      <c r="AQ19" s="121" t="s">
        <v>155</v>
      </c>
      <c r="AR19" s="115" t="s">
        <v>156</v>
      </c>
      <c r="AS19" s="115" t="s">
        <v>150</v>
      </c>
      <c r="AT19" s="121" t="s">
        <v>157</v>
      </c>
      <c r="AU19" s="116" t="s">
        <v>158</v>
      </c>
      <c r="AV19" s="116" t="s">
        <v>159</v>
      </c>
      <c r="AW19" s="121"/>
      <c r="AX19" s="118" t="s">
        <v>150</v>
      </c>
      <c r="AY19" s="118" t="s">
        <v>151</v>
      </c>
      <c r="AZ19" s="118" t="s">
        <v>151</v>
      </c>
      <c r="BA19" s="118" t="s">
        <v>150</v>
      </c>
      <c r="BB19" s="118" t="s">
        <v>150</v>
      </c>
      <c r="BC19" s="118" t="s">
        <v>152</v>
      </c>
      <c r="BD19" s="118"/>
      <c r="BE19" s="117" t="s">
        <v>160</v>
      </c>
      <c r="BF19" s="123" t="s">
        <v>154</v>
      </c>
      <c r="BG19" s="117" t="s">
        <v>155</v>
      </c>
      <c r="BH19" s="118" t="s">
        <v>156</v>
      </c>
      <c r="BI19" s="118" t="s">
        <v>150</v>
      </c>
      <c r="BJ19" s="117" t="s">
        <v>157</v>
      </c>
      <c r="BK19" s="119" t="s">
        <v>158</v>
      </c>
      <c r="BL19" s="119" t="s">
        <v>161</v>
      </c>
      <c r="BM19" s="117" t="s">
        <v>155</v>
      </c>
      <c r="BN19" s="124" t="s">
        <v>150</v>
      </c>
      <c r="BO19" s="124" t="s">
        <v>151</v>
      </c>
      <c r="BP19" s="124" t="s">
        <v>151</v>
      </c>
      <c r="BQ19" s="124" t="s">
        <v>150</v>
      </c>
      <c r="BR19" s="124" t="s">
        <v>150</v>
      </c>
      <c r="BS19" s="124" t="s">
        <v>152</v>
      </c>
      <c r="BT19" s="124"/>
      <c r="BU19" s="120" t="s">
        <v>162</v>
      </c>
      <c r="BV19" s="125" t="s">
        <v>154</v>
      </c>
      <c r="BW19" s="120" t="s">
        <v>155</v>
      </c>
      <c r="BX19" s="124" t="s">
        <v>156</v>
      </c>
      <c r="BY19" s="124" t="s">
        <v>150</v>
      </c>
      <c r="BZ19" s="120" t="s">
        <v>157</v>
      </c>
      <c r="CA19" s="126" t="s">
        <v>158</v>
      </c>
      <c r="CB19" s="126" t="s">
        <v>161</v>
      </c>
      <c r="CC19" s="127" t="s">
        <v>155</v>
      </c>
      <c r="CD19" s="128" t="s">
        <v>69</v>
      </c>
      <c r="CE19" s="128" t="s">
        <v>163</v>
      </c>
      <c r="CF19" s="129" t="s">
        <v>69</v>
      </c>
      <c r="CG19" s="128" t="s">
        <v>69</v>
      </c>
      <c r="CH19" s="128" t="s">
        <v>164</v>
      </c>
      <c r="CI19" s="128" t="s">
        <v>165</v>
      </c>
      <c r="CJ19" s="128" t="s">
        <v>166</v>
      </c>
      <c r="CK19" s="129" t="s">
        <v>167</v>
      </c>
      <c r="CL19" s="128" t="s">
        <v>165</v>
      </c>
      <c r="CM19" s="128" t="s">
        <v>166</v>
      </c>
      <c r="CN19" s="129" t="s">
        <v>168</v>
      </c>
      <c r="CO19" s="130" t="s">
        <v>169</v>
      </c>
      <c r="CP19" s="130" t="s">
        <v>169</v>
      </c>
      <c r="CQ19" s="130" t="s">
        <v>169</v>
      </c>
      <c r="CR19" s="130" t="s">
        <v>169</v>
      </c>
      <c r="CS19" s="130" t="s">
        <v>169</v>
      </c>
      <c r="CT19" s="130" t="s">
        <v>170</v>
      </c>
      <c r="CU19" s="130" t="s">
        <v>150</v>
      </c>
      <c r="CV19" s="130" t="s">
        <v>150</v>
      </c>
      <c r="CW19" s="130" t="s">
        <v>171</v>
      </c>
      <c r="CX19" s="130" t="s">
        <v>150</v>
      </c>
      <c r="CY19" s="130" t="s">
        <v>150</v>
      </c>
      <c r="CZ19" s="131" t="s">
        <v>172</v>
      </c>
      <c r="DA19" s="132" t="s">
        <v>150</v>
      </c>
      <c r="DB19" s="132" t="s">
        <v>150</v>
      </c>
      <c r="DC19" s="132" t="s">
        <v>171</v>
      </c>
      <c r="DD19" s="132" t="s">
        <v>150</v>
      </c>
      <c r="DE19" s="132" t="s">
        <v>150</v>
      </c>
      <c r="DF19" s="132"/>
      <c r="DG19" s="132" t="s">
        <v>172</v>
      </c>
      <c r="DH19" s="132" t="s">
        <v>172</v>
      </c>
      <c r="DI19" s="131" t="s">
        <v>172</v>
      </c>
      <c r="DJ19" s="133" t="s">
        <v>173</v>
      </c>
      <c r="DK19" s="133" t="s">
        <v>173</v>
      </c>
      <c r="DL19" s="133" t="s">
        <v>173</v>
      </c>
      <c r="DM19" s="134" t="s">
        <v>174</v>
      </c>
      <c r="DN19" s="134" t="s">
        <v>174</v>
      </c>
      <c r="DO19" s="134" t="s">
        <v>174</v>
      </c>
      <c r="DP19" s="134" t="s">
        <v>174</v>
      </c>
      <c r="DQ19" s="134"/>
      <c r="DR19" s="134" t="s">
        <v>175</v>
      </c>
      <c r="DS19" s="134"/>
      <c r="DT19" s="134" t="s">
        <v>174</v>
      </c>
      <c r="DU19" s="134"/>
      <c r="DV19" s="135" t="s">
        <v>69</v>
      </c>
      <c r="DW19" s="136" t="s">
        <v>176</v>
      </c>
      <c r="DX19" s="136" t="s">
        <v>177</v>
      </c>
      <c r="DY19" s="137" t="s">
        <v>178</v>
      </c>
      <c r="DZ19" s="137" t="s">
        <v>178</v>
      </c>
      <c r="EA19" s="137" t="s">
        <v>173</v>
      </c>
      <c r="EB19" s="138" t="s">
        <v>173</v>
      </c>
      <c r="EC19" s="138" t="s">
        <v>173</v>
      </c>
      <c r="ED19" s="138" t="s">
        <v>173</v>
      </c>
      <c r="EE19" s="139" t="s">
        <v>178</v>
      </c>
      <c r="EF19" s="139" t="s">
        <v>178</v>
      </c>
      <c r="EG19" s="139" t="s">
        <v>178</v>
      </c>
      <c r="EH19" s="139" t="s">
        <v>178</v>
      </c>
      <c r="EI19" s="139" t="s">
        <v>178</v>
      </c>
      <c r="EJ19" s="139" t="s">
        <v>178</v>
      </c>
      <c r="EK19" s="140" t="s">
        <v>178</v>
      </c>
      <c r="EL19" s="111"/>
    </row>
    <row r="20" ht="17.25" customHeight="1">
      <c r="A20" s="141">
        <v>45931.0</v>
      </c>
      <c r="B20" s="111">
        <v>0.0</v>
      </c>
      <c r="C20" s="111"/>
      <c r="D20" s="111"/>
      <c r="E20" s="111">
        <v>60.0</v>
      </c>
      <c r="F20" s="111">
        <v>42.57</v>
      </c>
      <c r="G20" s="111">
        <v>44.58</v>
      </c>
      <c r="H20" s="111"/>
      <c r="I20" s="111"/>
      <c r="J20" s="111"/>
      <c r="K20" s="111"/>
      <c r="L20" s="111"/>
      <c r="M20" s="111">
        <v>11.18</v>
      </c>
      <c r="N20" s="111">
        <v>60.19</v>
      </c>
      <c r="O20" s="111">
        <v>5.98</v>
      </c>
      <c r="P20" s="111"/>
      <c r="Q20" s="111">
        <v>0.0</v>
      </c>
      <c r="R20" s="111">
        <v>0.0</v>
      </c>
      <c r="S20" s="111"/>
      <c r="T20" s="111">
        <v>0.0</v>
      </c>
      <c r="U20" s="111">
        <v>0.0</v>
      </c>
      <c r="V20" s="111"/>
      <c r="W20" s="111">
        <v>11.18</v>
      </c>
      <c r="X20" s="111">
        <v>60.19</v>
      </c>
      <c r="Y20" s="111"/>
      <c r="Z20" s="111">
        <v>10.46</v>
      </c>
      <c r="AA20" s="111">
        <v>54.87</v>
      </c>
      <c r="AB20" s="111"/>
      <c r="AC20" s="111">
        <v>11.18</v>
      </c>
      <c r="AD20" s="111">
        <v>60.19</v>
      </c>
      <c r="AE20" s="111"/>
      <c r="AF20" s="111">
        <v>9.97</v>
      </c>
      <c r="AG20" s="111">
        <v>53.15</v>
      </c>
      <c r="AH20" s="111"/>
      <c r="AI20" s="111">
        <v>0.0</v>
      </c>
      <c r="AJ20" s="111">
        <v>0.0</v>
      </c>
      <c r="AK20" s="111">
        <v>0.0</v>
      </c>
      <c r="AL20" s="111">
        <v>0.0</v>
      </c>
      <c r="AM20" s="111">
        <v>0.0</v>
      </c>
      <c r="AN20" s="111">
        <v>0.0</v>
      </c>
      <c r="AO20" s="111">
        <v>0.0</v>
      </c>
      <c r="AP20" s="111">
        <v>0.0</v>
      </c>
      <c r="AQ20" s="111">
        <v>0.0</v>
      </c>
      <c r="AR20" s="111">
        <v>0.0</v>
      </c>
      <c r="AS20" s="111"/>
      <c r="AT20" s="142"/>
      <c r="AU20" s="142"/>
      <c r="AV20" s="111">
        <v>0.0</v>
      </c>
      <c r="AW20" s="111">
        <v>0.0</v>
      </c>
      <c r="AX20" s="111"/>
      <c r="AY20" s="111"/>
      <c r="AZ20" s="111"/>
      <c r="BA20" s="111"/>
      <c r="BB20" s="111">
        <v>5.74</v>
      </c>
      <c r="BC20" s="111"/>
      <c r="BD20" s="111">
        <v>7.04</v>
      </c>
      <c r="BE20" s="111">
        <v>33.0</v>
      </c>
      <c r="BF20" s="111"/>
      <c r="BG20" s="111"/>
      <c r="BH20" s="111"/>
      <c r="BI20" s="111"/>
      <c r="BJ20" s="142"/>
      <c r="BK20" s="111"/>
      <c r="BL20" s="111">
        <v>3.0</v>
      </c>
      <c r="BM20" s="111"/>
      <c r="BN20" s="111"/>
      <c r="BO20" s="111"/>
      <c r="BP20" s="111"/>
      <c r="BQ20" s="111"/>
      <c r="BR20" s="111">
        <v>5.3</v>
      </c>
      <c r="BS20" s="111"/>
      <c r="BT20" s="111">
        <v>7.01</v>
      </c>
      <c r="BU20" s="111">
        <v>32.5</v>
      </c>
      <c r="BV20" s="111"/>
      <c r="BW20" s="111"/>
      <c r="BX20" s="111"/>
      <c r="BY20" s="111"/>
      <c r="BZ20" s="142"/>
      <c r="CA20" s="111"/>
      <c r="CB20" s="111">
        <v>3.0</v>
      </c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>
        <v>2351.0</v>
      </c>
      <c r="CS20" s="111">
        <v>0.0</v>
      </c>
      <c r="CT20" s="143">
        <f t="shared" ref="CT20:CT34" si="1">CR20/E20</f>
        <v>39.18333333</v>
      </c>
      <c r="CU20" s="111"/>
      <c r="CV20" s="111">
        <v>37.0</v>
      </c>
      <c r="CW20" s="111"/>
      <c r="CX20" s="111"/>
      <c r="CY20" s="111"/>
      <c r="CZ20" s="111">
        <v>869.0</v>
      </c>
      <c r="DA20" s="18">
        <v>95.3</v>
      </c>
      <c r="DB20" s="144">
        <v>3.4</v>
      </c>
      <c r="DC20" s="111">
        <v>1.6</v>
      </c>
      <c r="DD20" s="18">
        <v>0.076</v>
      </c>
      <c r="DE20" s="145">
        <v>0.9</v>
      </c>
      <c r="DF20" s="111">
        <f t="shared" ref="DF20:DF50" si="2">(CZ20/CR20)*100</f>
        <v>36.96299447</v>
      </c>
      <c r="DG20" s="111"/>
      <c r="DH20" s="111"/>
      <c r="DI20" s="111"/>
      <c r="DJ20" s="111"/>
      <c r="DK20" s="111"/>
      <c r="DL20" s="111"/>
      <c r="DM20" s="111">
        <v>0.0</v>
      </c>
      <c r="DN20" s="111">
        <v>284.8</v>
      </c>
      <c r="DO20" s="111">
        <v>0.0</v>
      </c>
      <c r="DP20" s="111"/>
      <c r="DQ20" s="111"/>
      <c r="DR20" s="111"/>
      <c r="DS20" s="111"/>
      <c r="DT20" s="111"/>
      <c r="DU20" s="111"/>
      <c r="DV20" s="111"/>
      <c r="DW20" s="111">
        <v>2265.0</v>
      </c>
      <c r="DX20" s="146">
        <f t="shared" ref="DX20:DX34" si="3">DW20/CZ20</f>
        <v>2.606444189</v>
      </c>
      <c r="DY20" s="111">
        <v>45.0</v>
      </c>
      <c r="DZ20" s="111"/>
      <c r="EA20" s="111"/>
      <c r="EB20" s="111"/>
      <c r="EC20" s="111"/>
      <c r="ED20" s="111">
        <v>6.55</v>
      </c>
      <c r="EE20" s="111"/>
      <c r="EF20" s="111"/>
      <c r="EG20" s="111"/>
      <c r="EH20" s="111"/>
      <c r="EI20" s="111"/>
      <c r="EJ20" s="111"/>
      <c r="EK20" s="147"/>
      <c r="EL20" s="111"/>
    </row>
    <row r="21" ht="17.25" customHeight="1">
      <c r="A21" s="148">
        <v>45932.0</v>
      </c>
      <c r="B21" s="111">
        <v>0.0</v>
      </c>
      <c r="C21" s="111"/>
      <c r="D21" s="111"/>
      <c r="E21" s="111">
        <v>60.0</v>
      </c>
      <c r="F21" s="111">
        <v>31.93</v>
      </c>
      <c r="G21" s="111">
        <v>61.0</v>
      </c>
      <c r="H21" s="111"/>
      <c r="I21" s="111"/>
      <c r="J21" s="111"/>
      <c r="K21" s="111"/>
      <c r="L21" s="111"/>
      <c r="M21" s="111">
        <v>13.14</v>
      </c>
      <c r="N21" s="111">
        <v>60.35</v>
      </c>
      <c r="O21" s="111">
        <v>6.12</v>
      </c>
      <c r="P21" s="111"/>
      <c r="Q21" s="111">
        <v>0.0</v>
      </c>
      <c r="R21" s="111">
        <v>0.0</v>
      </c>
      <c r="S21" s="111"/>
      <c r="T21" s="111">
        <v>0.0</v>
      </c>
      <c r="U21" s="111">
        <v>0.0</v>
      </c>
      <c r="V21" s="111"/>
      <c r="W21" s="111">
        <v>13.14</v>
      </c>
      <c r="X21" s="111">
        <v>60.35</v>
      </c>
      <c r="Y21" s="111"/>
      <c r="Z21" s="111">
        <v>10.54</v>
      </c>
      <c r="AA21" s="111">
        <v>54.36</v>
      </c>
      <c r="AB21" s="111"/>
      <c r="AC21" s="111">
        <v>13.14</v>
      </c>
      <c r="AD21" s="111">
        <v>60.35</v>
      </c>
      <c r="AE21" s="111"/>
      <c r="AF21" s="111">
        <v>10.01</v>
      </c>
      <c r="AG21" s="111">
        <v>52.74</v>
      </c>
      <c r="AH21" s="111"/>
      <c r="AI21" s="111">
        <v>0.0</v>
      </c>
      <c r="AJ21" s="111">
        <v>0.0</v>
      </c>
      <c r="AK21" s="111">
        <v>0.0</v>
      </c>
      <c r="AL21" s="111">
        <v>0.0</v>
      </c>
      <c r="AM21" s="111">
        <v>0.0</v>
      </c>
      <c r="AN21" s="111">
        <v>0.0</v>
      </c>
      <c r="AO21" s="111">
        <v>0.0</v>
      </c>
      <c r="AP21" s="111">
        <v>0.0</v>
      </c>
      <c r="AQ21" s="111">
        <v>0.0</v>
      </c>
      <c r="AR21" s="111">
        <v>0.0</v>
      </c>
      <c r="AS21" s="111"/>
      <c r="AT21" s="142"/>
      <c r="AU21" s="142"/>
      <c r="AV21" s="111">
        <v>0.0</v>
      </c>
      <c r="AW21" s="111">
        <v>0.0</v>
      </c>
      <c r="AX21" s="111"/>
      <c r="AY21" s="111"/>
      <c r="AZ21" s="111"/>
      <c r="BA21" s="111"/>
      <c r="BB21" s="111">
        <v>5.73</v>
      </c>
      <c r="BC21" s="111"/>
      <c r="BD21" s="111">
        <v>7.07</v>
      </c>
      <c r="BE21" s="111">
        <v>33.0</v>
      </c>
      <c r="BF21" s="111"/>
      <c r="BG21" s="111"/>
      <c r="BH21" s="111"/>
      <c r="BI21" s="111"/>
      <c r="BJ21" s="142"/>
      <c r="BK21" s="111"/>
      <c r="BL21" s="111">
        <v>3.0</v>
      </c>
      <c r="BM21" s="111"/>
      <c r="BN21" s="111"/>
      <c r="BO21" s="111"/>
      <c r="BP21" s="111"/>
      <c r="BQ21" s="111"/>
      <c r="BR21" s="111">
        <v>5.28</v>
      </c>
      <c r="BS21" s="111"/>
      <c r="BT21" s="111">
        <v>7.05</v>
      </c>
      <c r="BU21" s="111">
        <v>32.5</v>
      </c>
      <c r="BV21" s="111"/>
      <c r="BW21" s="111"/>
      <c r="BX21" s="111"/>
      <c r="BY21" s="111"/>
      <c r="BZ21" s="142"/>
      <c r="CA21" s="111"/>
      <c r="CB21" s="111">
        <v>3.0</v>
      </c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>
        <v>3281.0</v>
      </c>
      <c r="CS21" s="111">
        <v>0.0</v>
      </c>
      <c r="CT21" s="143">
        <f t="shared" si="1"/>
        <v>54.68333333</v>
      </c>
      <c r="CU21" s="111"/>
      <c r="CV21" s="111">
        <v>36.0</v>
      </c>
      <c r="CW21" s="111"/>
      <c r="CX21" s="111"/>
      <c r="CY21" s="111"/>
      <c r="CZ21" s="111">
        <v>1231.0</v>
      </c>
      <c r="DA21" s="18">
        <v>95.6</v>
      </c>
      <c r="DB21" s="18">
        <v>3.5</v>
      </c>
      <c r="DC21" s="111">
        <v>2.0</v>
      </c>
      <c r="DD21" s="18">
        <v>0.08</v>
      </c>
      <c r="DE21" s="145">
        <v>1.0</v>
      </c>
      <c r="DF21" s="111">
        <f t="shared" si="2"/>
        <v>37.51904907</v>
      </c>
      <c r="DG21" s="111"/>
      <c r="DH21" s="111"/>
      <c r="DI21" s="111"/>
      <c r="DJ21" s="111"/>
      <c r="DK21" s="111"/>
      <c r="DL21" s="111"/>
      <c r="DM21" s="111">
        <v>0.0</v>
      </c>
      <c r="DN21" s="111">
        <v>284.8</v>
      </c>
      <c r="DO21" s="111">
        <v>0.0</v>
      </c>
      <c r="DP21" s="111"/>
      <c r="DQ21" s="111"/>
      <c r="DR21" s="111"/>
      <c r="DS21" s="111"/>
      <c r="DT21" s="111"/>
      <c r="DU21" s="111"/>
      <c r="DV21" s="111"/>
      <c r="DW21" s="111">
        <v>2985.0</v>
      </c>
      <c r="DX21" s="146">
        <f t="shared" si="3"/>
        <v>2.424857839</v>
      </c>
      <c r="DY21" s="111">
        <v>45.0</v>
      </c>
      <c r="DZ21" s="111"/>
      <c r="EA21" s="111"/>
      <c r="EB21" s="111"/>
      <c r="EC21" s="111"/>
      <c r="ED21" s="111">
        <v>8.35</v>
      </c>
      <c r="EE21" s="111"/>
      <c r="EF21" s="111"/>
      <c r="EG21" s="111"/>
      <c r="EH21" s="111"/>
      <c r="EI21" s="111"/>
      <c r="EJ21" s="111"/>
      <c r="EK21" s="147"/>
      <c r="EL21" s="111"/>
    </row>
    <row r="22" ht="17.25" customHeight="1">
      <c r="A22" s="148">
        <v>45933.0</v>
      </c>
      <c r="B22" s="111">
        <v>0.0</v>
      </c>
      <c r="C22" s="111"/>
      <c r="D22" s="111"/>
      <c r="E22" s="111">
        <v>60.0</v>
      </c>
      <c r="F22" s="111">
        <v>32.97</v>
      </c>
      <c r="G22" s="111">
        <v>65.87</v>
      </c>
      <c r="H22" s="111"/>
      <c r="I22" s="111"/>
      <c r="J22" s="111"/>
      <c r="K22" s="111"/>
      <c r="L22" s="111"/>
      <c r="M22" s="111">
        <v>13.95</v>
      </c>
      <c r="N22" s="111">
        <v>61.07</v>
      </c>
      <c r="O22" s="111">
        <v>6.03</v>
      </c>
      <c r="P22" s="111"/>
      <c r="Q22" s="111">
        <v>0.0</v>
      </c>
      <c r="R22" s="111">
        <v>0.0</v>
      </c>
      <c r="S22" s="111"/>
      <c r="T22" s="111">
        <v>0.0</v>
      </c>
      <c r="U22" s="111">
        <v>0.0</v>
      </c>
      <c r="V22" s="111"/>
      <c r="W22" s="111">
        <v>13.95</v>
      </c>
      <c r="X22" s="111">
        <v>61.07</v>
      </c>
      <c r="Y22" s="111"/>
      <c r="Z22" s="111">
        <v>10.77</v>
      </c>
      <c r="AA22" s="111">
        <v>53.94</v>
      </c>
      <c r="AB22" s="111"/>
      <c r="AC22" s="111">
        <v>13.95</v>
      </c>
      <c r="AD22" s="111">
        <v>61.07</v>
      </c>
      <c r="AE22" s="111"/>
      <c r="AF22" s="111">
        <v>9.8</v>
      </c>
      <c r="AG22" s="111">
        <v>52.95</v>
      </c>
      <c r="AH22" s="111"/>
      <c r="AI22" s="111">
        <v>0.0</v>
      </c>
      <c r="AJ22" s="111">
        <v>0.0</v>
      </c>
      <c r="AK22" s="111">
        <v>0.0</v>
      </c>
      <c r="AL22" s="111">
        <v>0.0</v>
      </c>
      <c r="AM22" s="111">
        <v>0.0</v>
      </c>
      <c r="AN22" s="111">
        <v>0.0</v>
      </c>
      <c r="AO22" s="111">
        <v>0.0</v>
      </c>
      <c r="AP22" s="111">
        <v>0.0</v>
      </c>
      <c r="AQ22" s="111">
        <v>0.0</v>
      </c>
      <c r="AR22" s="111">
        <v>0.0</v>
      </c>
      <c r="AS22" s="111"/>
      <c r="AT22" s="142"/>
      <c r="AU22" s="142"/>
      <c r="AV22" s="111">
        <v>0.0</v>
      </c>
      <c r="AW22" s="111">
        <v>0.0</v>
      </c>
      <c r="AX22" s="111"/>
      <c r="AY22" s="111"/>
      <c r="AZ22" s="111"/>
      <c r="BA22" s="111"/>
      <c r="BB22" s="111">
        <v>5.81</v>
      </c>
      <c r="BC22" s="111"/>
      <c r="BD22" s="111">
        <v>7.03</v>
      </c>
      <c r="BE22" s="111">
        <v>33.0</v>
      </c>
      <c r="BF22" s="111"/>
      <c r="BG22" s="111"/>
      <c r="BH22" s="111"/>
      <c r="BI22" s="111"/>
      <c r="BJ22" s="142"/>
      <c r="BK22" s="111"/>
      <c r="BL22" s="111">
        <v>3.0</v>
      </c>
      <c r="BM22" s="111"/>
      <c r="BN22" s="111"/>
      <c r="BO22" s="111"/>
      <c r="BP22" s="111"/>
      <c r="BQ22" s="111"/>
      <c r="BR22" s="111">
        <v>5.19</v>
      </c>
      <c r="BS22" s="111"/>
      <c r="BT22" s="111">
        <v>7.06</v>
      </c>
      <c r="BU22" s="111">
        <v>32.5</v>
      </c>
      <c r="BV22" s="111"/>
      <c r="BW22" s="111"/>
      <c r="BX22" s="111"/>
      <c r="BY22" s="111"/>
      <c r="BZ22" s="142"/>
      <c r="CA22" s="111"/>
      <c r="CB22" s="111">
        <v>3.0</v>
      </c>
      <c r="CC22" s="111"/>
      <c r="CD22" s="111"/>
      <c r="CE22" s="111"/>
      <c r="CF22" s="111"/>
      <c r="CG22" s="111"/>
      <c r="CH22" s="111"/>
      <c r="CI22" s="111"/>
      <c r="CJ22" s="111"/>
      <c r="CK22" s="111"/>
      <c r="CL22" s="111"/>
      <c r="CM22" s="111"/>
      <c r="CN22" s="111"/>
      <c r="CO22" s="111"/>
      <c r="CP22" s="111"/>
      <c r="CQ22" s="111"/>
      <c r="CR22" s="111">
        <v>2451.0</v>
      </c>
      <c r="CS22" s="111">
        <v>0.0</v>
      </c>
      <c r="CT22" s="143">
        <f t="shared" si="1"/>
        <v>40.85</v>
      </c>
      <c r="CU22" s="111"/>
      <c r="CV22" s="111">
        <v>36.2</v>
      </c>
      <c r="CW22" s="111"/>
      <c r="CX22" s="111"/>
      <c r="CY22" s="111"/>
      <c r="CZ22" s="111">
        <v>891.0</v>
      </c>
      <c r="DA22" s="111">
        <v>95.4</v>
      </c>
      <c r="DB22" s="111">
        <v>3.4</v>
      </c>
      <c r="DC22" s="111">
        <v>2.7</v>
      </c>
      <c r="DD22" s="111">
        <v>0.097</v>
      </c>
      <c r="DE22" s="111">
        <v>1.0</v>
      </c>
      <c r="DF22" s="111">
        <f t="shared" si="2"/>
        <v>36.35250918</v>
      </c>
      <c r="DG22" s="111"/>
      <c r="DH22" s="111"/>
      <c r="DI22" s="111"/>
      <c r="DJ22" s="111"/>
      <c r="DK22" s="111"/>
      <c r="DL22" s="111"/>
      <c r="DM22" s="111">
        <v>4.2</v>
      </c>
      <c r="DN22" s="111">
        <f t="shared" ref="DN22:DN32" si="4">DN21+DM22</f>
        <v>289</v>
      </c>
      <c r="DO22" s="111">
        <v>0.0</v>
      </c>
      <c r="DP22" s="111"/>
      <c r="DQ22" s="111"/>
      <c r="DR22" s="111"/>
      <c r="DS22" s="111"/>
      <c r="DT22" s="111"/>
      <c r="DU22" s="111"/>
      <c r="DV22" s="111"/>
      <c r="DW22" s="111">
        <v>2535.0</v>
      </c>
      <c r="DX22" s="146">
        <f t="shared" si="3"/>
        <v>2.845117845</v>
      </c>
      <c r="DY22" s="111">
        <v>45.0</v>
      </c>
      <c r="DZ22" s="111"/>
      <c r="EA22" s="111"/>
      <c r="EB22" s="111"/>
      <c r="EC22" s="111"/>
      <c r="ED22" s="143">
        <v>6.5</v>
      </c>
      <c r="EE22" s="111"/>
      <c r="EF22" s="111"/>
      <c r="EG22" s="111"/>
      <c r="EH22" s="111"/>
      <c r="EI22" s="111"/>
      <c r="EJ22" s="111"/>
      <c r="EK22" s="147"/>
      <c r="EL22" s="111"/>
    </row>
    <row r="23" ht="17.25" customHeight="1">
      <c r="A23" s="148">
        <v>45934.0</v>
      </c>
      <c r="B23" s="111">
        <v>0.0</v>
      </c>
      <c r="C23" s="111"/>
      <c r="D23" s="111"/>
      <c r="E23" s="111">
        <v>60.0</v>
      </c>
      <c r="F23" s="111">
        <v>34.6</v>
      </c>
      <c r="G23" s="111">
        <v>66.3</v>
      </c>
      <c r="H23" s="111"/>
      <c r="I23" s="111"/>
      <c r="J23" s="111"/>
      <c r="K23" s="111"/>
      <c r="L23" s="111"/>
      <c r="M23" s="111">
        <v>11.98</v>
      </c>
      <c r="N23" s="111">
        <v>64.77</v>
      </c>
      <c r="O23" s="111">
        <v>6.17</v>
      </c>
      <c r="P23" s="111"/>
      <c r="Q23" s="111">
        <v>0.0</v>
      </c>
      <c r="R23" s="111">
        <v>0.0</v>
      </c>
      <c r="S23" s="111"/>
      <c r="T23" s="111">
        <v>0.0</v>
      </c>
      <c r="U23" s="111">
        <v>0.0</v>
      </c>
      <c r="V23" s="111"/>
      <c r="W23" s="111">
        <v>11.98</v>
      </c>
      <c r="X23" s="111">
        <v>64.77</v>
      </c>
      <c r="Y23" s="111"/>
      <c r="Z23" s="111">
        <v>10.8</v>
      </c>
      <c r="AA23" s="111">
        <v>53.51</v>
      </c>
      <c r="AB23" s="111"/>
      <c r="AC23" s="111">
        <v>11.98</v>
      </c>
      <c r="AD23" s="111">
        <v>64.77</v>
      </c>
      <c r="AE23" s="111"/>
      <c r="AF23" s="111">
        <v>9.9</v>
      </c>
      <c r="AG23" s="111">
        <v>53.23</v>
      </c>
      <c r="AH23" s="111"/>
      <c r="AI23" s="111">
        <v>0.0</v>
      </c>
      <c r="AJ23" s="111">
        <v>0.0</v>
      </c>
      <c r="AK23" s="111">
        <v>0.0</v>
      </c>
      <c r="AL23" s="111">
        <v>0.0</v>
      </c>
      <c r="AM23" s="111">
        <v>0.0</v>
      </c>
      <c r="AN23" s="111">
        <v>0.0</v>
      </c>
      <c r="AO23" s="111">
        <v>0.0</v>
      </c>
      <c r="AP23" s="111">
        <v>0.0</v>
      </c>
      <c r="AQ23" s="111">
        <v>0.0</v>
      </c>
      <c r="AR23" s="111">
        <v>0.0</v>
      </c>
      <c r="AS23" s="111"/>
      <c r="AT23" s="142"/>
      <c r="AU23" s="142"/>
      <c r="AV23" s="111">
        <v>0.0</v>
      </c>
      <c r="AW23" s="111">
        <v>0.0</v>
      </c>
      <c r="AX23" s="111"/>
      <c r="AY23" s="111">
        <v>29.49</v>
      </c>
      <c r="AZ23" s="111">
        <v>74.0</v>
      </c>
      <c r="BA23" s="111">
        <v>0.39</v>
      </c>
      <c r="BB23" s="111">
        <v>5.78</v>
      </c>
      <c r="BC23" s="111"/>
      <c r="BD23" s="111">
        <v>7.09</v>
      </c>
      <c r="BE23" s="111">
        <v>33.0</v>
      </c>
      <c r="BF23" s="111"/>
      <c r="BG23" s="111"/>
      <c r="BH23" s="111"/>
      <c r="BI23" s="111"/>
      <c r="BJ23" s="142"/>
      <c r="BK23" s="111"/>
      <c r="BL23" s="111">
        <v>3.0</v>
      </c>
      <c r="BM23" s="111"/>
      <c r="BN23" s="111"/>
      <c r="BO23" s="111">
        <v>29.47</v>
      </c>
      <c r="BP23" s="111">
        <v>76.0</v>
      </c>
      <c r="BQ23" s="111">
        <v>0.38</v>
      </c>
      <c r="BR23" s="111">
        <v>5.27</v>
      </c>
      <c r="BS23" s="111"/>
      <c r="BT23" s="111">
        <v>7.08</v>
      </c>
      <c r="BU23" s="111">
        <v>32.5</v>
      </c>
      <c r="BV23" s="111"/>
      <c r="BW23" s="111"/>
      <c r="BX23" s="111"/>
      <c r="BY23" s="111"/>
      <c r="BZ23" s="142"/>
      <c r="CA23" s="111"/>
      <c r="CB23" s="111">
        <v>3.0</v>
      </c>
      <c r="CC23" s="111"/>
      <c r="CD23" s="111"/>
      <c r="CE23" s="111"/>
      <c r="CF23" s="111"/>
      <c r="CG23" s="111"/>
      <c r="CH23" s="111"/>
      <c r="CI23" s="111"/>
      <c r="CJ23" s="111"/>
      <c r="CK23" s="111"/>
      <c r="CL23" s="111"/>
      <c r="CM23" s="111"/>
      <c r="CN23" s="111"/>
      <c r="CO23" s="111"/>
      <c r="CP23" s="111"/>
      <c r="CQ23" s="111"/>
      <c r="CR23" s="111">
        <v>3260.0</v>
      </c>
      <c r="CS23" s="111">
        <v>0.0</v>
      </c>
      <c r="CT23" s="143">
        <f t="shared" si="1"/>
        <v>54.33333333</v>
      </c>
      <c r="CU23" s="111"/>
      <c r="CV23" s="111" t="s">
        <v>179</v>
      </c>
      <c r="CW23" s="111"/>
      <c r="CX23" s="111"/>
      <c r="CY23" s="111"/>
      <c r="CZ23" s="111">
        <v>1323.0</v>
      </c>
      <c r="DA23" s="111">
        <v>95.5</v>
      </c>
      <c r="DB23" s="111">
        <v>3.2</v>
      </c>
      <c r="DC23" s="111">
        <v>1.1</v>
      </c>
      <c r="DD23" s="111">
        <v>0.075</v>
      </c>
      <c r="DE23" s="111">
        <v>1.1</v>
      </c>
      <c r="DF23" s="111">
        <f t="shared" si="2"/>
        <v>40.58282209</v>
      </c>
      <c r="DG23" s="111"/>
      <c r="DH23" s="111"/>
      <c r="DI23" s="111"/>
      <c r="DJ23" s="111"/>
      <c r="DK23" s="111"/>
      <c r="DL23" s="111"/>
      <c r="DM23" s="111">
        <v>4.2</v>
      </c>
      <c r="DN23" s="111">
        <f t="shared" si="4"/>
        <v>293.2</v>
      </c>
      <c r="DO23" s="111">
        <v>0.0</v>
      </c>
      <c r="DP23" s="111"/>
      <c r="DQ23" s="111"/>
      <c r="DR23" s="111"/>
      <c r="DS23" s="111"/>
      <c r="DT23" s="111"/>
      <c r="DU23" s="111"/>
      <c r="DV23" s="111"/>
      <c r="DW23" s="111">
        <v>3285.0</v>
      </c>
      <c r="DX23" s="146">
        <f t="shared" si="3"/>
        <v>2.482993197</v>
      </c>
      <c r="DY23" s="111">
        <v>45.0</v>
      </c>
      <c r="DZ23" s="111"/>
      <c r="EA23" s="111"/>
      <c r="EB23" s="111"/>
      <c r="EC23" s="111"/>
      <c r="ED23" s="143">
        <v>9.0</v>
      </c>
      <c r="EE23" s="111"/>
      <c r="EF23" s="111"/>
      <c r="EG23" s="111"/>
      <c r="EH23" s="111"/>
      <c r="EI23" s="111"/>
      <c r="EJ23" s="111"/>
      <c r="EK23" s="147"/>
      <c r="EL23" s="111"/>
    </row>
    <row r="24" ht="17.25" customHeight="1">
      <c r="A24" s="148">
        <v>45935.0</v>
      </c>
      <c r="B24" s="111">
        <v>0.0</v>
      </c>
      <c r="C24" s="111"/>
      <c r="D24" s="111"/>
      <c r="E24" s="111">
        <v>60.0</v>
      </c>
      <c r="F24" s="111" t="s">
        <v>179</v>
      </c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>
        <v>0.0</v>
      </c>
      <c r="R24" s="111">
        <v>0.0</v>
      </c>
      <c r="S24" s="111"/>
      <c r="T24" s="111">
        <v>0.0</v>
      </c>
      <c r="U24" s="111">
        <v>0.0</v>
      </c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>
        <v>0.0</v>
      </c>
      <c r="AJ24" s="111">
        <v>0.0</v>
      </c>
      <c r="AK24" s="111">
        <v>0.0</v>
      </c>
      <c r="AL24" s="111">
        <v>0.0</v>
      </c>
      <c r="AM24" s="111">
        <v>0.0</v>
      </c>
      <c r="AN24" s="111">
        <v>0.0</v>
      </c>
      <c r="AO24" s="111">
        <v>0.0</v>
      </c>
      <c r="AP24" s="111">
        <v>0.0</v>
      </c>
      <c r="AQ24" s="111">
        <v>0.0</v>
      </c>
      <c r="AR24" s="111">
        <v>0.0</v>
      </c>
      <c r="AS24" s="111"/>
      <c r="AT24" s="142"/>
      <c r="AU24" s="142"/>
      <c r="AV24" s="111">
        <v>0.0</v>
      </c>
      <c r="AW24" s="111">
        <v>0.0</v>
      </c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42"/>
      <c r="BK24" s="111"/>
      <c r="BL24" s="111">
        <v>3.0</v>
      </c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42"/>
      <c r="CA24" s="111"/>
      <c r="CB24" s="111">
        <v>3.0</v>
      </c>
      <c r="CC24" s="111"/>
      <c r="CD24" s="111"/>
      <c r="CE24" s="111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Q24" s="111"/>
      <c r="CR24" s="111">
        <v>2120.0</v>
      </c>
      <c r="CS24" s="111">
        <v>0.0</v>
      </c>
      <c r="CT24" s="143">
        <f t="shared" si="1"/>
        <v>35.33333333</v>
      </c>
      <c r="CU24" s="111"/>
      <c r="CV24" s="111" t="s">
        <v>179</v>
      </c>
      <c r="CW24" s="111"/>
      <c r="CX24" s="111"/>
      <c r="CY24" s="111"/>
      <c r="CZ24" s="111">
        <v>698.0</v>
      </c>
      <c r="DA24" s="111">
        <v>95.3</v>
      </c>
      <c r="DB24" s="111">
        <v>3.3</v>
      </c>
      <c r="DC24" s="111">
        <v>1.8</v>
      </c>
      <c r="DD24" s="111">
        <v>0.09</v>
      </c>
      <c r="DE24" s="111">
        <v>1.3</v>
      </c>
      <c r="DF24" s="111">
        <f t="shared" si="2"/>
        <v>32.9245283</v>
      </c>
      <c r="DG24" s="111"/>
      <c r="DH24" s="111"/>
      <c r="DI24" s="111"/>
      <c r="DJ24" s="111"/>
      <c r="DK24" s="111"/>
      <c r="DL24" s="111"/>
      <c r="DM24" s="111">
        <v>3.6</v>
      </c>
      <c r="DN24" s="111">
        <f t="shared" si="4"/>
        <v>296.8</v>
      </c>
      <c r="DO24" s="111">
        <v>0.0</v>
      </c>
      <c r="DP24" s="111"/>
      <c r="DQ24" s="111"/>
      <c r="DR24" s="111"/>
      <c r="DS24" s="111"/>
      <c r="DT24" s="111"/>
      <c r="DU24" s="111"/>
      <c r="DV24" s="111"/>
      <c r="DW24" s="111">
        <v>2400.0</v>
      </c>
      <c r="DX24" s="146">
        <f t="shared" si="3"/>
        <v>3.438395415</v>
      </c>
      <c r="DY24" s="111">
        <v>45.0</v>
      </c>
      <c r="DZ24" s="111"/>
      <c r="EA24" s="111"/>
      <c r="EB24" s="111"/>
      <c r="EC24" s="111"/>
      <c r="ED24" s="143">
        <v>5.4</v>
      </c>
      <c r="EE24" s="111"/>
      <c r="EF24" s="111"/>
      <c r="EG24" s="111"/>
      <c r="EH24" s="111"/>
      <c r="EI24" s="111"/>
      <c r="EJ24" s="111"/>
      <c r="EK24" s="147"/>
      <c r="EL24" s="111"/>
    </row>
    <row r="25" ht="17.25" customHeight="1">
      <c r="A25" s="148">
        <v>45936.0</v>
      </c>
      <c r="B25" s="111">
        <v>0.0</v>
      </c>
      <c r="C25" s="111"/>
      <c r="D25" s="111"/>
      <c r="E25" s="111">
        <v>50.0</v>
      </c>
      <c r="F25" s="111">
        <v>33.8</v>
      </c>
      <c r="G25" s="111">
        <v>64.55</v>
      </c>
      <c r="H25" s="111"/>
      <c r="I25" s="111"/>
      <c r="J25" s="111"/>
      <c r="K25" s="111"/>
      <c r="L25" s="111"/>
      <c r="M25" s="111">
        <v>15.22</v>
      </c>
      <c r="N25" s="111">
        <v>61.56</v>
      </c>
      <c r="O25" s="111">
        <v>6.27</v>
      </c>
      <c r="P25" s="111"/>
      <c r="Q25" s="111">
        <v>0.0</v>
      </c>
      <c r="R25" s="111">
        <v>0.0</v>
      </c>
      <c r="S25" s="111"/>
      <c r="T25" s="111">
        <v>0.0</v>
      </c>
      <c r="U25" s="111">
        <v>0.0</v>
      </c>
      <c r="V25" s="111"/>
      <c r="W25" s="111">
        <v>15.22</v>
      </c>
      <c r="X25" s="111">
        <v>61.56</v>
      </c>
      <c r="Y25" s="111"/>
      <c r="Z25" s="111">
        <v>10.52</v>
      </c>
      <c r="AA25" s="111">
        <v>53.32</v>
      </c>
      <c r="AB25" s="111"/>
      <c r="AC25" s="111">
        <v>15.22</v>
      </c>
      <c r="AD25" s="111">
        <v>61.56</v>
      </c>
      <c r="AE25" s="111"/>
      <c r="AF25" s="111">
        <v>9.69</v>
      </c>
      <c r="AG25" s="111">
        <v>52.42</v>
      </c>
      <c r="AH25" s="111"/>
      <c r="AI25" s="111">
        <v>0.0</v>
      </c>
      <c r="AJ25" s="111">
        <v>0.0</v>
      </c>
      <c r="AK25" s="111">
        <v>0.0</v>
      </c>
      <c r="AL25" s="111">
        <v>0.0</v>
      </c>
      <c r="AM25" s="111">
        <v>0.0</v>
      </c>
      <c r="AN25" s="111">
        <v>0.0</v>
      </c>
      <c r="AO25" s="111">
        <v>0.0</v>
      </c>
      <c r="AP25" s="111">
        <v>0.0</v>
      </c>
      <c r="AQ25" s="111">
        <v>0.0</v>
      </c>
      <c r="AR25" s="111">
        <v>0.0</v>
      </c>
      <c r="AS25" s="111"/>
      <c r="AT25" s="142"/>
      <c r="AU25" s="142"/>
      <c r="AV25" s="111">
        <v>0.0</v>
      </c>
      <c r="AW25" s="111">
        <v>0.0</v>
      </c>
      <c r="AX25" s="111"/>
      <c r="AY25" s="111"/>
      <c r="AZ25" s="111"/>
      <c r="BA25" s="111"/>
      <c r="BB25" s="111">
        <v>5.61</v>
      </c>
      <c r="BC25" s="111">
        <v>96.75</v>
      </c>
      <c r="BD25" s="111">
        <v>7.07</v>
      </c>
      <c r="BE25" s="111">
        <v>34.0</v>
      </c>
      <c r="BF25" s="111"/>
      <c r="BG25" s="111"/>
      <c r="BH25" s="111"/>
      <c r="BI25" s="111"/>
      <c r="BJ25" s="142"/>
      <c r="BK25" s="111"/>
      <c r="BL25" s="111">
        <v>3.0</v>
      </c>
      <c r="BM25" s="111"/>
      <c r="BN25" s="111"/>
      <c r="BO25" s="111"/>
      <c r="BP25" s="111"/>
      <c r="BQ25" s="111"/>
      <c r="BR25" s="111">
        <v>5.08</v>
      </c>
      <c r="BS25" s="111">
        <v>100.72</v>
      </c>
      <c r="BT25" s="111">
        <v>7.02</v>
      </c>
      <c r="BU25" s="111">
        <v>32.5</v>
      </c>
      <c r="BV25" s="111"/>
      <c r="BW25" s="111"/>
      <c r="BX25" s="111"/>
      <c r="BY25" s="111"/>
      <c r="BZ25" s="142"/>
      <c r="CA25" s="111"/>
      <c r="CB25" s="111">
        <v>3.0</v>
      </c>
      <c r="CC25" s="111"/>
      <c r="CD25" s="111"/>
      <c r="CE25" s="111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Q25" s="111"/>
      <c r="CR25" s="111">
        <v>2885.0</v>
      </c>
      <c r="CS25" s="111">
        <v>0.0</v>
      </c>
      <c r="CT25" s="111">
        <f t="shared" si="1"/>
        <v>57.7</v>
      </c>
      <c r="CU25" s="111"/>
      <c r="CV25" s="111">
        <v>36.0</v>
      </c>
      <c r="CW25" s="111"/>
      <c r="CX25" s="111"/>
      <c r="CY25" s="111"/>
      <c r="CZ25" s="111">
        <v>1043.0</v>
      </c>
      <c r="DA25" s="111">
        <v>94.7</v>
      </c>
      <c r="DB25" s="111">
        <v>3.6</v>
      </c>
      <c r="DC25" s="111">
        <v>1.5</v>
      </c>
      <c r="DD25" s="111">
        <v>0.08</v>
      </c>
      <c r="DE25" s="111">
        <v>1.5</v>
      </c>
      <c r="DF25" s="111">
        <f t="shared" si="2"/>
        <v>36.152513</v>
      </c>
      <c r="DG25" s="111"/>
      <c r="DH25" s="111"/>
      <c r="DI25" s="111"/>
      <c r="DJ25" s="111"/>
      <c r="DK25" s="111"/>
      <c r="DL25" s="111"/>
      <c r="DM25" s="111">
        <v>0.0</v>
      </c>
      <c r="DN25" s="111">
        <f t="shared" si="4"/>
        <v>296.8</v>
      </c>
      <c r="DO25" s="149">
        <v>0.64</v>
      </c>
      <c r="DP25" s="111"/>
      <c r="DQ25" s="111"/>
      <c r="DR25" s="111"/>
      <c r="DS25" s="111"/>
      <c r="DT25" s="111"/>
      <c r="DU25" s="111"/>
      <c r="DV25" s="111"/>
      <c r="DW25" s="111">
        <v>2820.0</v>
      </c>
      <c r="DX25" s="146">
        <f t="shared" si="3"/>
        <v>2.703739214</v>
      </c>
      <c r="DY25" s="111">
        <v>45.0</v>
      </c>
      <c r="DZ25" s="111"/>
      <c r="EA25" s="111"/>
      <c r="EB25" s="111"/>
      <c r="EC25" s="111"/>
      <c r="ED25" s="111">
        <v>8.1</v>
      </c>
      <c r="EE25" s="111"/>
      <c r="EF25" s="111"/>
      <c r="EG25" s="111"/>
      <c r="EH25" s="111"/>
      <c r="EI25" s="111"/>
      <c r="EJ25" s="111"/>
      <c r="EK25" s="147"/>
      <c r="EL25" s="111"/>
    </row>
    <row r="26" ht="17.25" customHeight="1">
      <c r="A26" s="148">
        <v>45937.0</v>
      </c>
      <c r="B26" s="111">
        <v>0.0</v>
      </c>
      <c r="C26" s="111"/>
      <c r="D26" s="111"/>
      <c r="E26" s="111">
        <v>50.0</v>
      </c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>
        <v>0.0</v>
      </c>
      <c r="R26" s="111">
        <v>0.0</v>
      </c>
      <c r="S26" s="111"/>
      <c r="T26" s="111">
        <v>0.0</v>
      </c>
      <c r="U26" s="111">
        <v>0.0</v>
      </c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>
        <v>0.0</v>
      </c>
      <c r="AJ26" s="111">
        <v>0.0</v>
      </c>
      <c r="AK26" s="111">
        <v>0.0</v>
      </c>
      <c r="AL26" s="111">
        <v>0.0</v>
      </c>
      <c r="AM26" s="111">
        <v>0.0</v>
      </c>
      <c r="AN26" s="111">
        <v>0.0</v>
      </c>
      <c r="AO26" s="111">
        <v>0.0</v>
      </c>
      <c r="AP26" s="111">
        <v>0.0</v>
      </c>
      <c r="AQ26" s="111">
        <v>0.0</v>
      </c>
      <c r="AR26" s="111">
        <v>0.0</v>
      </c>
      <c r="AS26" s="111"/>
      <c r="AT26" s="142"/>
      <c r="AU26" s="142"/>
      <c r="AV26" s="111">
        <v>0.0</v>
      </c>
      <c r="AW26" s="111">
        <v>0.0</v>
      </c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42"/>
      <c r="BK26" s="111"/>
      <c r="BL26" s="111">
        <v>3.0</v>
      </c>
      <c r="BM26" s="111"/>
      <c r="BN26" s="111"/>
      <c r="BO26" s="111"/>
      <c r="BP26" s="111"/>
      <c r="BQ26" s="111"/>
      <c r="BR26" s="1"/>
      <c r="BS26" s="1"/>
      <c r="BT26" s="111"/>
      <c r="BU26" s="111"/>
      <c r="BV26" s="111"/>
      <c r="BW26" s="111"/>
      <c r="BX26" s="111"/>
      <c r="BY26" s="111"/>
      <c r="BZ26" s="142"/>
      <c r="CA26" s="111"/>
      <c r="CB26" s="111">
        <v>3.0</v>
      </c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Q26" s="111"/>
      <c r="CR26" s="111">
        <v>1575.0</v>
      </c>
      <c r="CS26" s="111">
        <v>0.0</v>
      </c>
      <c r="CT26" s="111">
        <f t="shared" si="1"/>
        <v>31.5</v>
      </c>
      <c r="CU26" s="111"/>
      <c r="CV26" s="111" t="s">
        <v>179</v>
      </c>
      <c r="CW26" s="111"/>
      <c r="CX26" s="111"/>
      <c r="CY26" s="111"/>
      <c r="CZ26" s="111">
        <v>504.0</v>
      </c>
      <c r="DA26" s="111"/>
      <c r="DB26" s="111"/>
      <c r="DC26" s="111"/>
      <c r="DD26" s="111"/>
      <c r="DE26" s="111"/>
      <c r="DF26" s="111">
        <f t="shared" si="2"/>
        <v>32</v>
      </c>
      <c r="DG26" s="111"/>
      <c r="DH26" s="111"/>
      <c r="DI26" s="111"/>
      <c r="DJ26" s="111"/>
      <c r="DK26" s="111"/>
      <c r="DL26" s="111"/>
      <c r="DM26" s="111">
        <v>0.0</v>
      </c>
      <c r="DN26" s="111">
        <f t="shared" si="4"/>
        <v>296.8</v>
      </c>
      <c r="DO26" s="149">
        <v>0.0</v>
      </c>
      <c r="DP26" s="111"/>
      <c r="DQ26" s="111"/>
      <c r="DR26" s="111"/>
      <c r="DS26" s="111"/>
      <c r="DT26" s="111"/>
      <c r="DU26" s="111"/>
      <c r="DV26" s="111"/>
      <c r="DW26" s="111">
        <v>2280.0</v>
      </c>
      <c r="DX26" s="146">
        <f t="shared" si="3"/>
        <v>4.523809524</v>
      </c>
      <c r="DY26" s="111">
        <v>45.0</v>
      </c>
      <c r="DZ26" s="111"/>
      <c r="EA26" s="111"/>
      <c r="EB26" s="111"/>
      <c r="EC26" s="111"/>
      <c r="ED26" s="111">
        <v>8.1</v>
      </c>
      <c r="EE26" s="111"/>
      <c r="EF26" s="111"/>
      <c r="EG26" s="111"/>
      <c r="EH26" s="111"/>
      <c r="EI26" s="111"/>
      <c r="EJ26" s="111"/>
      <c r="EK26" s="147"/>
      <c r="EL26" s="111"/>
    </row>
    <row r="27" ht="17.25" customHeight="1">
      <c r="A27" s="148">
        <v>45938.0</v>
      </c>
      <c r="B27" s="111">
        <v>0.0</v>
      </c>
      <c r="C27" s="111"/>
      <c r="D27" s="111"/>
      <c r="E27" s="111">
        <v>60.0</v>
      </c>
      <c r="F27" s="111">
        <v>35.95</v>
      </c>
      <c r="G27" s="111">
        <v>48.28</v>
      </c>
      <c r="H27" s="111"/>
      <c r="I27" s="111"/>
      <c r="J27" s="111"/>
      <c r="K27" s="111"/>
      <c r="L27" s="111"/>
      <c r="M27" s="111">
        <v>15.07</v>
      </c>
      <c r="N27" s="111">
        <v>57.06</v>
      </c>
      <c r="O27" s="111">
        <v>6.34</v>
      </c>
      <c r="P27" s="111"/>
      <c r="Q27" s="111">
        <v>0.0</v>
      </c>
      <c r="R27" s="111">
        <v>0.0</v>
      </c>
      <c r="S27" s="111"/>
      <c r="T27" s="111">
        <v>0.0</v>
      </c>
      <c r="U27" s="111">
        <v>0.0</v>
      </c>
      <c r="V27" s="111"/>
      <c r="W27" s="111">
        <v>15.07</v>
      </c>
      <c r="X27" s="111">
        <v>57.06</v>
      </c>
      <c r="Y27" s="111"/>
      <c r="Z27" s="111">
        <v>10.78</v>
      </c>
      <c r="AA27" s="111">
        <v>54.91</v>
      </c>
      <c r="AB27" s="111"/>
      <c r="AC27" s="111">
        <v>15.07</v>
      </c>
      <c r="AD27" s="111">
        <v>57.06</v>
      </c>
      <c r="AE27" s="111"/>
      <c r="AF27" s="111">
        <v>9.98</v>
      </c>
      <c r="AG27" s="111">
        <v>53.8</v>
      </c>
      <c r="AH27" s="111"/>
      <c r="AI27" s="111">
        <v>0.0</v>
      </c>
      <c r="AJ27" s="111">
        <v>0.0</v>
      </c>
      <c r="AK27" s="111">
        <v>0.0</v>
      </c>
      <c r="AL27" s="111">
        <v>0.0</v>
      </c>
      <c r="AM27" s="111">
        <v>0.0</v>
      </c>
      <c r="AN27" s="111">
        <v>0.0</v>
      </c>
      <c r="AO27" s="111">
        <v>0.0</v>
      </c>
      <c r="AP27" s="111">
        <v>0.0</v>
      </c>
      <c r="AQ27" s="111">
        <v>0.0</v>
      </c>
      <c r="AR27" s="111">
        <v>0.0</v>
      </c>
      <c r="AS27" s="111"/>
      <c r="AT27" s="142"/>
      <c r="AU27" s="142"/>
      <c r="AV27" s="111">
        <v>0.0</v>
      </c>
      <c r="AW27" s="111">
        <v>0.0</v>
      </c>
      <c r="AX27" s="111"/>
      <c r="AY27" s="111"/>
      <c r="AZ27" s="111"/>
      <c r="BA27" s="111"/>
      <c r="BB27" s="111">
        <v>5.9</v>
      </c>
      <c r="BC27" s="111">
        <v>99.41</v>
      </c>
      <c r="BD27" s="111">
        <v>7.12</v>
      </c>
      <c r="BE27" s="111">
        <v>33.5</v>
      </c>
      <c r="BF27" s="111"/>
      <c r="BG27" s="111"/>
      <c r="BH27" s="111"/>
      <c r="BI27" s="111"/>
      <c r="BJ27" s="142"/>
      <c r="BK27" s="111"/>
      <c r="BL27" s="111">
        <v>3.0</v>
      </c>
      <c r="BM27" s="111"/>
      <c r="BN27" s="111"/>
      <c r="BO27" s="111"/>
      <c r="BP27" s="111"/>
      <c r="BQ27" s="111"/>
      <c r="BR27" s="111">
        <v>5.37</v>
      </c>
      <c r="BS27" s="111">
        <v>101.58</v>
      </c>
      <c r="BT27" s="111">
        <v>7.1</v>
      </c>
      <c r="BU27" s="111">
        <v>32.5</v>
      </c>
      <c r="BV27" s="111"/>
      <c r="BW27" s="111"/>
      <c r="BX27" s="111"/>
      <c r="BY27" s="111"/>
      <c r="BZ27" s="142"/>
      <c r="CA27" s="111"/>
      <c r="CB27" s="111">
        <v>3.0</v>
      </c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Q27" s="111"/>
      <c r="CR27" s="111">
        <v>2184.0</v>
      </c>
      <c r="CS27" s="111">
        <v>0.0</v>
      </c>
      <c r="CT27" s="143">
        <f t="shared" si="1"/>
        <v>36.4</v>
      </c>
      <c r="CU27" s="111"/>
      <c r="CV27" s="111">
        <v>35.0</v>
      </c>
      <c r="CW27" s="111"/>
      <c r="CX27" s="111"/>
      <c r="CY27" s="111"/>
      <c r="CZ27" s="111">
        <v>726.0</v>
      </c>
      <c r="DA27" s="111">
        <v>95.0</v>
      </c>
      <c r="DB27" s="111">
        <v>3.2</v>
      </c>
      <c r="DC27" s="111">
        <v>1.2</v>
      </c>
      <c r="DD27" s="111">
        <v>0.095</v>
      </c>
      <c r="DE27" s="111">
        <v>2.0</v>
      </c>
      <c r="DF27" s="111">
        <f t="shared" si="2"/>
        <v>33.24175824</v>
      </c>
      <c r="DG27" s="111"/>
      <c r="DH27" s="111"/>
      <c r="DI27" s="111"/>
      <c r="DJ27" s="111"/>
      <c r="DK27" s="111"/>
      <c r="DL27" s="111"/>
      <c r="DM27" s="111">
        <v>0.0</v>
      </c>
      <c r="DN27" s="111">
        <f t="shared" si="4"/>
        <v>296.8</v>
      </c>
      <c r="DO27" s="149">
        <v>0.0</v>
      </c>
      <c r="DP27" s="111"/>
      <c r="DQ27" s="111"/>
      <c r="DR27" s="111"/>
      <c r="DS27" s="111"/>
      <c r="DT27" s="111"/>
      <c r="DU27" s="111"/>
      <c r="DV27" s="111"/>
      <c r="DW27" s="111">
        <v>1860.0</v>
      </c>
      <c r="DX27" s="146">
        <f t="shared" si="3"/>
        <v>2.561983471</v>
      </c>
      <c r="DY27" s="111">
        <v>45.0</v>
      </c>
      <c r="DZ27" s="111"/>
      <c r="EA27" s="111"/>
      <c r="EB27" s="111"/>
      <c r="EC27" s="111"/>
      <c r="ED27" s="143">
        <v>6.55</v>
      </c>
      <c r="EE27" s="111"/>
      <c r="EF27" s="111"/>
      <c r="EG27" s="111"/>
      <c r="EH27" s="111"/>
      <c r="EI27" s="111"/>
      <c r="EJ27" s="111"/>
      <c r="EK27" s="147"/>
      <c r="EL27" s="111"/>
    </row>
    <row r="28" ht="17.25" customHeight="1">
      <c r="A28" s="148">
        <v>45939.0</v>
      </c>
      <c r="B28" s="111">
        <v>0.0</v>
      </c>
      <c r="C28" s="111"/>
      <c r="D28" s="111"/>
      <c r="E28" s="111">
        <v>60.0</v>
      </c>
      <c r="F28" s="111">
        <v>38.9</v>
      </c>
      <c r="G28" s="111">
        <v>47.58</v>
      </c>
      <c r="H28" s="111"/>
      <c r="I28" s="111"/>
      <c r="J28" s="111"/>
      <c r="K28" s="111"/>
      <c r="L28" s="111"/>
      <c r="M28" s="111">
        <v>13.73</v>
      </c>
      <c r="N28" s="111">
        <v>59.86</v>
      </c>
      <c r="O28" s="111">
        <v>6.42</v>
      </c>
      <c r="P28" s="111"/>
      <c r="Q28" s="111">
        <v>0.0</v>
      </c>
      <c r="R28" s="111">
        <v>0.0</v>
      </c>
      <c r="S28" s="111"/>
      <c r="T28" s="111">
        <v>0.0</v>
      </c>
      <c r="U28" s="111">
        <v>0.0</v>
      </c>
      <c r="V28" s="111"/>
      <c r="W28" s="111">
        <v>13.73</v>
      </c>
      <c r="X28" s="111">
        <v>59.86</v>
      </c>
      <c r="Y28" s="111"/>
      <c r="Z28" s="111">
        <v>10.54</v>
      </c>
      <c r="AA28" s="111">
        <v>53.79</v>
      </c>
      <c r="AB28" s="111"/>
      <c r="AC28" s="111">
        <v>13.73</v>
      </c>
      <c r="AD28" s="111">
        <v>59.86</v>
      </c>
      <c r="AE28" s="111"/>
      <c r="AF28" s="111">
        <v>10.02</v>
      </c>
      <c r="AG28" s="111">
        <v>53.69</v>
      </c>
      <c r="AH28" s="111"/>
      <c r="AI28" s="111">
        <v>0.0</v>
      </c>
      <c r="AJ28" s="111">
        <v>0.0</v>
      </c>
      <c r="AK28" s="111">
        <v>0.0</v>
      </c>
      <c r="AL28" s="111">
        <v>0.0</v>
      </c>
      <c r="AM28" s="111">
        <v>0.0</v>
      </c>
      <c r="AN28" s="111">
        <v>0.0</v>
      </c>
      <c r="AO28" s="111">
        <v>0.0</v>
      </c>
      <c r="AP28" s="111">
        <v>0.0</v>
      </c>
      <c r="AQ28" s="111">
        <v>0.0</v>
      </c>
      <c r="AR28" s="111">
        <v>0.0</v>
      </c>
      <c r="AS28" s="111"/>
      <c r="AT28" s="142"/>
      <c r="AU28" s="142"/>
      <c r="AV28" s="111">
        <v>0.0</v>
      </c>
      <c r="AW28" s="111">
        <v>0.0</v>
      </c>
      <c r="AX28" s="111"/>
      <c r="AY28" s="111"/>
      <c r="AZ28" s="111"/>
      <c r="BA28" s="111"/>
      <c r="BB28" s="111">
        <v>5.67</v>
      </c>
      <c r="BC28" s="111">
        <v>98.47</v>
      </c>
      <c r="BD28" s="111">
        <v>7.03</v>
      </c>
      <c r="BE28" s="111">
        <v>33.5</v>
      </c>
      <c r="BF28" s="111"/>
      <c r="BG28" s="111"/>
      <c r="BH28" s="111"/>
      <c r="BI28" s="111"/>
      <c r="BJ28" s="142"/>
      <c r="BK28" s="111"/>
      <c r="BL28" s="111">
        <v>3.0</v>
      </c>
      <c r="BM28" s="111"/>
      <c r="BN28" s="111"/>
      <c r="BO28" s="111"/>
      <c r="BP28" s="111"/>
      <c r="BQ28" s="111"/>
      <c r="BR28" s="111">
        <v>5.38</v>
      </c>
      <c r="BS28" s="111">
        <v>100.87</v>
      </c>
      <c r="BT28" s="111">
        <v>7.07</v>
      </c>
      <c r="BU28" s="111">
        <v>32.5</v>
      </c>
      <c r="BV28" s="111"/>
      <c r="BW28" s="111"/>
      <c r="BX28" s="111"/>
      <c r="BY28" s="111"/>
      <c r="BZ28" s="142"/>
      <c r="CA28" s="111"/>
      <c r="CB28" s="111">
        <v>3.0</v>
      </c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>
        <v>2184.0</v>
      </c>
      <c r="CS28" s="111">
        <v>0.0</v>
      </c>
      <c r="CT28" s="143">
        <f t="shared" si="1"/>
        <v>36.4</v>
      </c>
      <c r="CU28" s="111"/>
      <c r="CV28" s="111" t="s">
        <v>179</v>
      </c>
      <c r="CW28" s="111"/>
      <c r="CX28" s="111"/>
      <c r="CY28" s="111"/>
      <c r="CZ28" s="111">
        <v>1025.0</v>
      </c>
      <c r="DA28" s="111">
        <v>94.3</v>
      </c>
      <c r="DB28" s="111">
        <v>3.6</v>
      </c>
      <c r="DC28" s="111">
        <v>2.0</v>
      </c>
      <c r="DD28" s="111">
        <v>0.079</v>
      </c>
      <c r="DE28" s="111">
        <v>1.9</v>
      </c>
      <c r="DF28" s="111">
        <f t="shared" si="2"/>
        <v>46.93223443</v>
      </c>
      <c r="DG28" s="111"/>
      <c r="DH28" s="111"/>
      <c r="DI28" s="111"/>
      <c r="DJ28" s="111"/>
      <c r="DK28" s="111"/>
      <c r="DL28" s="111"/>
      <c r="DM28" s="111">
        <v>4.8</v>
      </c>
      <c r="DN28" s="111">
        <f t="shared" si="4"/>
        <v>301.6</v>
      </c>
      <c r="DO28" s="149">
        <v>0.6</v>
      </c>
      <c r="DP28" s="111"/>
      <c r="DQ28" s="111"/>
      <c r="DR28" s="111"/>
      <c r="DS28" s="111"/>
      <c r="DT28" s="111"/>
      <c r="DU28" s="111"/>
      <c r="DV28" s="111"/>
      <c r="DW28" s="111">
        <v>3000.0</v>
      </c>
      <c r="DX28" s="146">
        <f t="shared" si="3"/>
        <v>2.926829268</v>
      </c>
      <c r="DY28" s="111">
        <v>45.0</v>
      </c>
      <c r="DZ28" s="111"/>
      <c r="EA28" s="111"/>
      <c r="EB28" s="111"/>
      <c r="EC28" s="111"/>
      <c r="ED28" s="143">
        <v>8.0</v>
      </c>
      <c r="EE28" s="111"/>
      <c r="EF28" s="111"/>
      <c r="EG28" s="111"/>
      <c r="EH28" s="111"/>
      <c r="EI28" s="111"/>
      <c r="EJ28" s="111"/>
      <c r="EK28" s="147"/>
      <c r="EL28" s="111"/>
    </row>
    <row r="29" ht="17.25" customHeight="1">
      <c r="A29" s="148">
        <v>45940.0</v>
      </c>
      <c r="B29" s="111">
        <v>0.0</v>
      </c>
      <c r="C29" s="111"/>
      <c r="D29" s="111"/>
      <c r="E29" s="111">
        <v>60.0</v>
      </c>
      <c r="F29" s="111">
        <v>52.04</v>
      </c>
      <c r="G29" s="111">
        <v>29.93</v>
      </c>
      <c r="H29" s="111"/>
      <c r="I29" s="111"/>
      <c r="J29" s="111"/>
      <c r="K29" s="111"/>
      <c r="L29" s="111"/>
      <c r="M29" s="111">
        <v>12.52</v>
      </c>
      <c r="N29" s="111">
        <v>56.46</v>
      </c>
      <c r="O29" s="111">
        <v>6.71</v>
      </c>
      <c r="P29" s="111"/>
      <c r="Q29" s="111">
        <v>0.0</v>
      </c>
      <c r="R29" s="111">
        <v>0.0</v>
      </c>
      <c r="S29" s="111"/>
      <c r="T29" s="111">
        <v>0.0</v>
      </c>
      <c r="U29" s="111">
        <v>0.0</v>
      </c>
      <c r="V29" s="111"/>
      <c r="W29" s="111">
        <v>12.52</v>
      </c>
      <c r="X29" s="111">
        <v>56.46</v>
      </c>
      <c r="Y29" s="111"/>
      <c r="Z29" s="111">
        <v>10.61</v>
      </c>
      <c r="AA29" s="111">
        <v>53.06</v>
      </c>
      <c r="AB29" s="111"/>
      <c r="AC29" s="111">
        <v>12.52</v>
      </c>
      <c r="AD29" s="111">
        <v>56.46</v>
      </c>
      <c r="AE29" s="111"/>
      <c r="AF29" s="111">
        <v>10.02</v>
      </c>
      <c r="AG29" s="111">
        <v>51.99</v>
      </c>
      <c r="AH29" s="111"/>
      <c r="AI29" s="111">
        <v>0.0</v>
      </c>
      <c r="AJ29" s="111">
        <v>0.0</v>
      </c>
      <c r="AK29" s="111">
        <v>0.0</v>
      </c>
      <c r="AL29" s="111">
        <v>0.0</v>
      </c>
      <c r="AM29" s="111">
        <v>0.0</v>
      </c>
      <c r="AN29" s="111">
        <v>0.0</v>
      </c>
      <c r="AO29" s="111">
        <v>0.0</v>
      </c>
      <c r="AP29" s="111">
        <v>0.0</v>
      </c>
      <c r="AQ29" s="111">
        <v>0.0</v>
      </c>
      <c r="AR29" s="111">
        <v>0.0</v>
      </c>
      <c r="AS29" s="111"/>
      <c r="AT29" s="142"/>
      <c r="AU29" s="142"/>
      <c r="AV29" s="111">
        <v>0.0</v>
      </c>
      <c r="AW29" s="111">
        <v>0.0</v>
      </c>
      <c r="AX29" s="111"/>
      <c r="AY29" s="111"/>
      <c r="AZ29" s="111"/>
      <c r="BA29" s="111"/>
      <c r="BB29" s="111">
        <v>5.63</v>
      </c>
      <c r="BC29" s="111">
        <v>99.65</v>
      </c>
      <c r="BD29" s="111">
        <v>7.04</v>
      </c>
      <c r="BE29" s="111">
        <v>33.5</v>
      </c>
      <c r="BF29" s="111"/>
      <c r="BG29" s="111"/>
      <c r="BH29" s="111"/>
      <c r="BI29" s="111"/>
      <c r="BJ29" s="142"/>
      <c r="BK29" s="111"/>
      <c r="BL29" s="111">
        <v>3.0</v>
      </c>
      <c r="BM29" s="111"/>
      <c r="BN29" s="111"/>
      <c r="BO29" s="111"/>
      <c r="BP29" s="111"/>
      <c r="BQ29" s="111"/>
      <c r="BR29" s="111">
        <v>5.21</v>
      </c>
      <c r="BS29" s="111">
        <v>101.61</v>
      </c>
      <c r="BT29" s="111">
        <v>7.01</v>
      </c>
      <c r="BU29" s="111">
        <v>32.5</v>
      </c>
      <c r="BV29" s="111"/>
      <c r="BW29" s="111"/>
      <c r="BX29" s="111"/>
      <c r="BY29" s="111"/>
      <c r="BZ29" s="142"/>
      <c r="CA29" s="111"/>
      <c r="CB29" s="111">
        <v>3.0</v>
      </c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1"/>
      <c r="CO29" s="111"/>
      <c r="CP29" s="111"/>
      <c r="CQ29" s="111"/>
      <c r="CR29" s="111">
        <v>2278.0</v>
      </c>
      <c r="CS29" s="111">
        <v>0.0</v>
      </c>
      <c r="CT29" s="111">
        <f t="shared" si="1"/>
        <v>37.96666667</v>
      </c>
      <c r="CU29" s="111"/>
      <c r="CV29" s="111" t="s">
        <v>179</v>
      </c>
      <c r="CW29" s="111"/>
      <c r="CX29" s="111"/>
      <c r="CY29" s="111"/>
      <c r="CZ29" s="111">
        <v>816.0</v>
      </c>
      <c r="DA29" s="111">
        <v>94.9</v>
      </c>
      <c r="DB29" s="111">
        <v>3.5</v>
      </c>
      <c r="DC29" s="111">
        <v>1.4</v>
      </c>
      <c r="DD29" s="111">
        <v>0.082</v>
      </c>
      <c r="DE29" s="111">
        <v>1.3</v>
      </c>
      <c r="DF29" s="111">
        <f t="shared" si="2"/>
        <v>35.82089552</v>
      </c>
      <c r="DG29" s="111"/>
      <c r="DH29" s="111"/>
      <c r="DI29" s="111"/>
      <c r="DJ29" s="111"/>
      <c r="DK29" s="111"/>
      <c r="DL29" s="111"/>
      <c r="DM29" s="111">
        <v>3.2</v>
      </c>
      <c r="DN29" s="111">
        <f t="shared" si="4"/>
        <v>304.8</v>
      </c>
      <c r="DO29" s="149">
        <v>0.0</v>
      </c>
      <c r="DP29" s="111"/>
      <c r="DQ29" s="111"/>
      <c r="DR29" s="111"/>
      <c r="DS29" s="111"/>
      <c r="DT29" s="111"/>
      <c r="DU29" s="111"/>
      <c r="DV29" s="111"/>
      <c r="DW29" s="111">
        <v>2700.0</v>
      </c>
      <c r="DX29" s="146">
        <f t="shared" si="3"/>
        <v>3.308823529</v>
      </c>
      <c r="DY29" s="111">
        <v>45.0</v>
      </c>
      <c r="DZ29" s="111"/>
      <c r="EA29" s="111"/>
      <c r="EB29" s="111"/>
      <c r="EC29" s="111"/>
      <c r="ED29" s="111">
        <v>6.15</v>
      </c>
      <c r="EE29" s="111"/>
      <c r="EF29" s="111"/>
      <c r="EG29" s="111"/>
      <c r="EH29" s="111"/>
      <c r="EI29" s="111"/>
      <c r="EJ29" s="111"/>
      <c r="EK29" s="147"/>
      <c r="EL29" s="111"/>
    </row>
    <row r="30" ht="17.25" customHeight="1">
      <c r="A30" s="148">
        <v>45941.0</v>
      </c>
      <c r="B30" s="111">
        <v>0.0</v>
      </c>
      <c r="C30" s="111"/>
      <c r="D30" s="111"/>
      <c r="E30" s="111">
        <v>60.0</v>
      </c>
      <c r="F30" s="111">
        <v>42.65</v>
      </c>
      <c r="G30" s="111">
        <v>56.17</v>
      </c>
      <c r="H30" s="111"/>
      <c r="I30" s="111"/>
      <c r="J30" s="111"/>
      <c r="K30" s="111"/>
      <c r="L30" s="111"/>
      <c r="M30" s="111">
        <v>11.85</v>
      </c>
      <c r="N30" s="111">
        <v>63.45</v>
      </c>
      <c r="O30" s="111">
        <v>6.67</v>
      </c>
      <c r="P30" s="111"/>
      <c r="Q30" s="111">
        <v>0.0</v>
      </c>
      <c r="R30" s="111">
        <v>0.0</v>
      </c>
      <c r="S30" s="111"/>
      <c r="T30" s="111">
        <v>0.0</v>
      </c>
      <c r="U30" s="111">
        <v>0.0</v>
      </c>
      <c r="V30" s="111"/>
      <c r="W30" s="111">
        <v>11.85</v>
      </c>
      <c r="X30" s="111">
        <v>63.45</v>
      </c>
      <c r="Y30" s="111"/>
      <c r="Z30" s="111">
        <v>11.15</v>
      </c>
      <c r="AA30" s="111">
        <v>54.61</v>
      </c>
      <c r="AB30" s="111"/>
      <c r="AC30" s="111">
        <v>11.85</v>
      </c>
      <c r="AD30" s="111">
        <v>63.45</v>
      </c>
      <c r="AE30" s="111"/>
      <c r="AF30" s="111">
        <v>10.59</v>
      </c>
      <c r="AG30" s="111">
        <v>55.24</v>
      </c>
      <c r="AH30" s="111"/>
      <c r="AI30" s="111">
        <v>0.0</v>
      </c>
      <c r="AJ30" s="111">
        <v>0.0</v>
      </c>
      <c r="AK30" s="111">
        <v>0.0</v>
      </c>
      <c r="AL30" s="111">
        <v>0.0</v>
      </c>
      <c r="AM30" s="111">
        <v>0.0</v>
      </c>
      <c r="AN30" s="111">
        <v>0.0</v>
      </c>
      <c r="AO30" s="111">
        <v>0.0</v>
      </c>
      <c r="AP30" s="111">
        <v>0.0</v>
      </c>
      <c r="AQ30" s="111">
        <v>0.0</v>
      </c>
      <c r="AR30" s="111">
        <v>0.0</v>
      </c>
      <c r="AS30" s="111"/>
      <c r="AT30" s="142"/>
      <c r="AU30" s="142"/>
      <c r="AV30" s="111">
        <v>0.0</v>
      </c>
      <c r="AW30" s="111">
        <v>0.0</v>
      </c>
      <c r="AX30" s="111"/>
      <c r="AY30" s="111">
        <v>39.57</v>
      </c>
      <c r="AZ30" s="111">
        <v>74.0</v>
      </c>
      <c r="BA30" s="111">
        <v>0.53</v>
      </c>
      <c r="BB30" s="111">
        <v>6.09</v>
      </c>
      <c r="BC30" s="111">
        <v>99.1</v>
      </c>
      <c r="BD30" s="111">
        <v>7.07</v>
      </c>
      <c r="BE30" s="111">
        <v>33.5</v>
      </c>
      <c r="BF30" s="111"/>
      <c r="BG30" s="111"/>
      <c r="BH30" s="111"/>
      <c r="BI30" s="111"/>
      <c r="BJ30" s="142"/>
      <c r="BK30" s="111"/>
      <c r="BL30" s="111">
        <v>3.0</v>
      </c>
      <c r="BM30" s="111"/>
      <c r="BN30" s="111"/>
      <c r="BO30" s="111">
        <v>39.55</v>
      </c>
      <c r="BP30" s="111">
        <v>76.0</v>
      </c>
      <c r="BQ30" s="111">
        <v>0.52</v>
      </c>
      <c r="BR30" s="111">
        <v>5.85</v>
      </c>
      <c r="BS30" s="111">
        <v>100.98</v>
      </c>
      <c r="BT30" s="111">
        <v>7.04</v>
      </c>
      <c r="BU30" s="111">
        <v>32.5</v>
      </c>
      <c r="BV30" s="111"/>
      <c r="BW30" s="111"/>
      <c r="BX30" s="111"/>
      <c r="BY30" s="111"/>
      <c r="BZ30" s="142"/>
      <c r="CA30" s="111"/>
      <c r="CB30" s="111">
        <v>3.0</v>
      </c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11">
        <v>1813.0</v>
      </c>
      <c r="CS30" s="111">
        <v>0.0</v>
      </c>
      <c r="CT30" s="111">
        <f t="shared" si="1"/>
        <v>30.21666667</v>
      </c>
      <c r="CU30" s="111"/>
      <c r="CV30" s="111" t="s">
        <v>179</v>
      </c>
      <c r="CW30" s="111"/>
      <c r="CX30" s="111"/>
      <c r="CY30" s="111"/>
      <c r="CZ30" s="111">
        <v>559.0</v>
      </c>
      <c r="DA30" s="111">
        <v>95.5</v>
      </c>
      <c r="DB30" s="111">
        <v>3.3</v>
      </c>
      <c r="DC30" s="111">
        <v>2.0</v>
      </c>
      <c r="DD30" s="111">
        <v>0.09</v>
      </c>
      <c r="DE30" s="111">
        <v>1.0</v>
      </c>
      <c r="DF30" s="111">
        <f t="shared" si="2"/>
        <v>30.83287369</v>
      </c>
      <c r="DG30" s="111"/>
      <c r="DH30" s="111"/>
      <c r="DI30" s="111"/>
      <c r="DJ30" s="111"/>
      <c r="DK30" s="111"/>
      <c r="DL30" s="111"/>
      <c r="DM30" s="111">
        <v>3.2</v>
      </c>
      <c r="DN30" s="111">
        <f t="shared" si="4"/>
        <v>308</v>
      </c>
      <c r="DO30" s="149">
        <v>0.0</v>
      </c>
      <c r="DP30" s="111"/>
      <c r="DQ30" s="111"/>
      <c r="DR30" s="111"/>
      <c r="DS30" s="111"/>
      <c r="DT30" s="111"/>
      <c r="DU30" s="111"/>
      <c r="DV30" s="111"/>
      <c r="DW30" s="111">
        <v>2025.0</v>
      </c>
      <c r="DX30" s="146">
        <f t="shared" si="3"/>
        <v>3.62254025</v>
      </c>
      <c r="DY30" s="111">
        <v>45.0</v>
      </c>
      <c r="DZ30" s="111"/>
      <c r="EA30" s="111"/>
      <c r="EB30" s="111"/>
      <c r="EC30" s="111"/>
      <c r="ED30" s="111">
        <v>4.5</v>
      </c>
      <c r="EE30" s="111"/>
      <c r="EF30" s="111"/>
      <c r="EG30" s="111"/>
      <c r="EH30" s="111"/>
      <c r="EI30" s="111"/>
      <c r="EJ30" s="111"/>
      <c r="EK30" s="147"/>
      <c r="EL30" s="111"/>
    </row>
    <row r="31" ht="17.25" customHeight="1">
      <c r="A31" s="148">
        <v>45942.0</v>
      </c>
      <c r="B31" s="111">
        <v>0.0</v>
      </c>
      <c r="C31" s="111"/>
      <c r="D31" s="111"/>
      <c r="E31" s="111">
        <v>60.0</v>
      </c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>
        <v>0.0</v>
      </c>
      <c r="R31" s="111">
        <v>0.0</v>
      </c>
      <c r="S31" s="111"/>
      <c r="T31" s="111">
        <v>0.0</v>
      </c>
      <c r="U31" s="111">
        <v>0.0</v>
      </c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>
        <v>0.0</v>
      </c>
      <c r="AJ31" s="111">
        <v>0.0</v>
      </c>
      <c r="AK31" s="111">
        <v>0.0</v>
      </c>
      <c r="AL31" s="111">
        <v>0.0</v>
      </c>
      <c r="AM31" s="111">
        <v>0.0</v>
      </c>
      <c r="AN31" s="111">
        <v>0.0</v>
      </c>
      <c r="AO31" s="111">
        <v>0.0</v>
      </c>
      <c r="AP31" s="111">
        <v>0.0</v>
      </c>
      <c r="AQ31" s="111">
        <v>0.0</v>
      </c>
      <c r="AR31" s="111">
        <v>0.0</v>
      </c>
      <c r="AS31" s="111"/>
      <c r="AT31" s="142"/>
      <c r="AU31" s="142"/>
      <c r="AV31" s="111">
        <v>0.0</v>
      </c>
      <c r="AW31" s="111">
        <v>0.0</v>
      </c>
      <c r="AX31" s="111"/>
      <c r="AY31" s="111">
        <v>0.0</v>
      </c>
      <c r="AZ31" s="111">
        <v>0.0</v>
      </c>
      <c r="BA31" s="111">
        <v>0.0</v>
      </c>
      <c r="BB31" s="111"/>
      <c r="BC31" s="111"/>
      <c r="BD31" s="111"/>
      <c r="BE31" s="111"/>
      <c r="BF31" s="111"/>
      <c r="BG31" s="111"/>
      <c r="BH31" s="111"/>
      <c r="BI31" s="111"/>
      <c r="BJ31" s="142"/>
      <c r="BK31" s="111"/>
      <c r="BL31" s="111">
        <v>3.0</v>
      </c>
      <c r="BM31" s="111"/>
      <c r="BN31" s="111"/>
      <c r="BO31" s="111"/>
      <c r="BP31" s="111"/>
      <c r="BQ31" s="111"/>
      <c r="BR31" s="111"/>
      <c r="BS31" s="111"/>
      <c r="BT31" s="111"/>
      <c r="BU31" s="111"/>
      <c r="BV31" s="111"/>
      <c r="BW31" s="111"/>
      <c r="BX31" s="111"/>
      <c r="BY31" s="111"/>
      <c r="BZ31" s="142"/>
      <c r="CA31" s="111"/>
      <c r="CB31" s="111"/>
      <c r="CC31" s="111"/>
      <c r="CD31" s="111"/>
      <c r="CE31" s="111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11">
        <v>1827.0</v>
      </c>
      <c r="CS31" s="111">
        <v>0.0</v>
      </c>
      <c r="CT31" s="111">
        <f t="shared" si="1"/>
        <v>30.45</v>
      </c>
      <c r="CU31" s="111"/>
      <c r="CV31" s="111" t="s">
        <v>179</v>
      </c>
      <c r="CW31" s="111"/>
      <c r="CX31" s="111"/>
      <c r="CY31" s="111"/>
      <c r="CZ31" s="111">
        <v>675.0</v>
      </c>
      <c r="DA31" s="111">
        <v>95.3</v>
      </c>
      <c r="DB31" s="111">
        <v>2.7</v>
      </c>
      <c r="DC31" s="111">
        <v>3.0</v>
      </c>
      <c r="DD31" s="111">
        <v>0.078</v>
      </c>
      <c r="DE31" s="111">
        <v>1.6</v>
      </c>
      <c r="DF31" s="111">
        <f t="shared" si="2"/>
        <v>36.94581281</v>
      </c>
      <c r="DG31" s="111"/>
      <c r="DH31" s="111"/>
      <c r="DI31" s="111"/>
      <c r="DJ31" s="111"/>
      <c r="DK31" s="111"/>
      <c r="DL31" s="111"/>
      <c r="DM31" s="111">
        <v>4.2</v>
      </c>
      <c r="DN31" s="111">
        <f t="shared" si="4"/>
        <v>312.2</v>
      </c>
      <c r="DO31" s="149">
        <v>0.0</v>
      </c>
      <c r="DP31" s="111"/>
      <c r="DQ31" s="111"/>
      <c r="DR31" s="111"/>
      <c r="DS31" s="111"/>
      <c r="DT31" s="111"/>
      <c r="DU31" s="111"/>
      <c r="DV31" s="111"/>
      <c r="DW31" s="111">
        <v>2250.0</v>
      </c>
      <c r="DX31" s="146">
        <f t="shared" si="3"/>
        <v>3.333333333</v>
      </c>
      <c r="DY31" s="111">
        <v>45.0</v>
      </c>
      <c r="DZ31" s="111"/>
      <c r="EA31" s="111"/>
      <c r="EB31" s="111"/>
      <c r="EC31" s="111"/>
      <c r="ED31" s="111">
        <v>4.45</v>
      </c>
      <c r="EE31" s="111"/>
      <c r="EF31" s="111"/>
      <c r="EG31" s="111"/>
      <c r="EH31" s="111"/>
      <c r="EI31" s="111"/>
      <c r="EJ31" s="111"/>
      <c r="EK31" s="147"/>
      <c r="EL31" s="111"/>
    </row>
    <row r="32" ht="17.25" customHeight="1">
      <c r="A32" s="148">
        <v>45943.0</v>
      </c>
      <c r="B32" s="111">
        <v>0.0</v>
      </c>
      <c r="C32" s="111"/>
      <c r="D32" s="111"/>
      <c r="E32" s="111">
        <v>50.0</v>
      </c>
      <c r="F32" s="111">
        <v>34.33</v>
      </c>
      <c r="G32" s="111">
        <v>64.87</v>
      </c>
      <c r="H32" s="111"/>
      <c r="I32" s="111"/>
      <c r="J32" s="111"/>
      <c r="K32" s="111"/>
      <c r="L32" s="111"/>
      <c r="M32" s="111">
        <v>10.7</v>
      </c>
      <c r="N32" s="111">
        <v>58.87</v>
      </c>
      <c r="O32" s="111">
        <v>6.75</v>
      </c>
      <c r="P32" s="111"/>
      <c r="Q32" s="111">
        <v>0.0</v>
      </c>
      <c r="R32" s="111">
        <v>0.0</v>
      </c>
      <c r="S32" s="111"/>
      <c r="T32" s="111">
        <v>0.0</v>
      </c>
      <c r="U32" s="111">
        <v>0.0</v>
      </c>
      <c r="V32" s="111"/>
      <c r="W32" s="111">
        <v>10.7</v>
      </c>
      <c r="X32" s="111">
        <v>58.87</v>
      </c>
      <c r="Y32" s="111"/>
      <c r="Z32" s="111">
        <v>10.7</v>
      </c>
      <c r="AA32" s="111">
        <v>53.55</v>
      </c>
      <c r="AB32" s="111"/>
      <c r="AC32" s="111">
        <v>10.7</v>
      </c>
      <c r="AD32" s="111">
        <v>58.87</v>
      </c>
      <c r="AE32" s="111"/>
      <c r="AF32" s="111">
        <v>10.27</v>
      </c>
      <c r="AG32" s="111">
        <v>52.77</v>
      </c>
      <c r="AH32" s="111"/>
      <c r="AI32" s="111">
        <v>0.0</v>
      </c>
      <c r="AJ32" s="111">
        <v>0.0</v>
      </c>
      <c r="AK32" s="111">
        <v>0.0</v>
      </c>
      <c r="AL32" s="111">
        <v>0.0</v>
      </c>
      <c r="AM32" s="111">
        <v>0.0</v>
      </c>
      <c r="AN32" s="111">
        <v>0.0</v>
      </c>
      <c r="AO32" s="111">
        <v>0.0</v>
      </c>
      <c r="AP32" s="111">
        <v>0.0</v>
      </c>
      <c r="AQ32" s="111">
        <v>0.0</v>
      </c>
      <c r="AR32" s="111">
        <v>0.0</v>
      </c>
      <c r="AS32" s="111"/>
      <c r="AT32" s="142"/>
      <c r="AU32" s="142"/>
      <c r="AV32" s="111">
        <v>0.0</v>
      </c>
      <c r="AW32" s="111">
        <v>0.0</v>
      </c>
      <c r="AX32" s="111"/>
      <c r="AY32" s="111">
        <v>0.0</v>
      </c>
      <c r="AZ32" s="111">
        <v>0.0</v>
      </c>
      <c r="BA32" s="111">
        <v>0.0</v>
      </c>
      <c r="BB32" s="111">
        <v>5.73</v>
      </c>
      <c r="BC32" s="111">
        <v>98.49</v>
      </c>
      <c r="BD32" s="111">
        <v>7.01</v>
      </c>
      <c r="BE32" s="111">
        <v>33.5</v>
      </c>
      <c r="BF32" s="111"/>
      <c r="BG32" s="111"/>
      <c r="BH32" s="111"/>
      <c r="BI32" s="111"/>
      <c r="BJ32" s="142"/>
      <c r="BK32" s="111"/>
      <c r="BL32" s="111">
        <v>0.0</v>
      </c>
      <c r="BM32" s="111"/>
      <c r="BN32" s="111"/>
      <c r="BO32" s="111"/>
      <c r="BP32" s="111"/>
      <c r="BQ32" s="111"/>
      <c r="BR32" s="111">
        <v>5.42</v>
      </c>
      <c r="BS32" s="111">
        <v>99.56</v>
      </c>
      <c r="BT32" s="111">
        <v>7.03</v>
      </c>
      <c r="BU32" s="111">
        <v>32.5</v>
      </c>
      <c r="BV32" s="111"/>
      <c r="BW32" s="111"/>
      <c r="BX32" s="111"/>
      <c r="BY32" s="111"/>
      <c r="BZ32" s="142"/>
      <c r="CA32" s="111"/>
      <c r="CB32" s="111">
        <v>3.0</v>
      </c>
      <c r="CC32" s="111"/>
      <c r="CD32" s="111"/>
      <c r="CE32" s="111"/>
      <c r="CF32" s="111"/>
      <c r="CG32" s="111"/>
      <c r="CH32" s="111"/>
      <c r="CI32" s="111"/>
      <c r="CJ32" s="111"/>
      <c r="CK32" s="111"/>
      <c r="CL32" s="111"/>
      <c r="CM32" s="111"/>
      <c r="CN32" s="111"/>
      <c r="CO32" s="111"/>
      <c r="CP32" s="111"/>
      <c r="CQ32" s="111"/>
      <c r="CR32" s="111">
        <v>1455.0</v>
      </c>
      <c r="CS32" s="111">
        <v>0.0</v>
      </c>
      <c r="CT32" s="111">
        <f t="shared" si="1"/>
        <v>29.1</v>
      </c>
      <c r="CU32" s="111"/>
      <c r="CV32" s="111"/>
      <c r="CW32" s="111"/>
      <c r="CX32" s="111"/>
      <c r="CY32" s="111"/>
      <c r="CZ32" s="111">
        <v>454.0</v>
      </c>
      <c r="DA32" s="111">
        <v>96.4</v>
      </c>
      <c r="DB32" s="111">
        <v>2.1</v>
      </c>
      <c r="DC32" s="111">
        <v>2.0</v>
      </c>
      <c r="DD32" s="111">
        <v>0.08</v>
      </c>
      <c r="DE32" s="111">
        <v>2.0</v>
      </c>
      <c r="DF32" s="111">
        <f t="shared" si="2"/>
        <v>31.20274914</v>
      </c>
      <c r="DG32" s="111"/>
      <c r="DH32" s="111"/>
      <c r="DI32" s="111"/>
      <c r="DJ32" s="111"/>
      <c r="DK32" s="111"/>
      <c r="DL32" s="111"/>
      <c r="DM32" s="111">
        <v>4.4</v>
      </c>
      <c r="DN32" s="111">
        <f t="shared" si="4"/>
        <v>316.6</v>
      </c>
      <c r="DO32" s="149">
        <f>1.56</f>
        <v>1.56</v>
      </c>
      <c r="DP32" s="111"/>
      <c r="DQ32" s="111"/>
      <c r="DR32" s="111"/>
      <c r="DS32" s="111"/>
      <c r="DT32" s="111"/>
      <c r="DU32" s="111"/>
      <c r="DV32" s="111"/>
      <c r="DW32" s="111">
        <v>1920.0</v>
      </c>
      <c r="DX32" s="146">
        <f t="shared" si="3"/>
        <v>4.22907489</v>
      </c>
      <c r="DY32" s="111">
        <v>45.0</v>
      </c>
      <c r="DZ32" s="111"/>
      <c r="EA32" s="111"/>
      <c r="EB32" s="111"/>
      <c r="EC32" s="111"/>
      <c r="ED32" s="111">
        <v>4.0</v>
      </c>
      <c r="EE32" s="111"/>
      <c r="EF32" s="111"/>
      <c r="EG32" s="111"/>
      <c r="EH32" s="111"/>
      <c r="EI32" s="111"/>
      <c r="EJ32" s="111"/>
      <c r="EK32" s="147"/>
      <c r="EL32" s="111"/>
    </row>
    <row r="33" ht="17.25" customHeight="1">
      <c r="A33" s="148">
        <v>45944.0</v>
      </c>
      <c r="B33" s="111">
        <v>0.0</v>
      </c>
      <c r="C33" s="111"/>
      <c r="D33" s="111"/>
      <c r="E33" s="111">
        <v>50.0</v>
      </c>
      <c r="F33" s="111">
        <v>0.0</v>
      </c>
      <c r="G33" s="111">
        <v>0.0</v>
      </c>
      <c r="H33" s="111"/>
      <c r="I33" s="111"/>
      <c r="J33" s="111"/>
      <c r="K33" s="111"/>
      <c r="L33" s="111"/>
      <c r="M33" s="111">
        <v>0.0</v>
      </c>
      <c r="N33" s="111">
        <v>0.0</v>
      </c>
      <c r="O33" s="111">
        <v>0.0</v>
      </c>
      <c r="P33" s="111"/>
      <c r="Q33" s="111">
        <v>0.0</v>
      </c>
      <c r="R33" s="111">
        <v>0.0</v>
      </c>
      <c r="S33" s="111"/>
      <c r="T33" s="111">
        <v>0.0</v>
      </c>
      <c r="U33" s="111">
        <v>0.0</v>
      </c>
      <c r="V33" s="111"/>
      <c r="W33" s="111">
        <v>0.0</v>
      </c>
      <c r="X33" s="111">
        <v>0.0</v>
      </c>
      <c r="Y33" s="111"/>
      <c r="Z33" s="111">
        <v>0.0</v>
      </c>
      <c r="AA33" s="111">
        <v>0.0</v>
      </c>
      <c r="AB33" s="111"/>
      <c r="AC33" s="111">
        <v>0.0</v>
      </c>
      <c r="AD33" s="111">
        <v>0.0</v>
      </c>
      <c r="AE33" s="111"/>
      <c r="AF33" s="111">
        <v>0.0</v>
      </c>
      <c r="AG33" s="111">
        <v>0.0</v>
      </c>
      <c r="AH33" s="111"/>
      <c r="AI33" s="111">
        <v>0.0</v>
      </c>
      <c r="AJ33" s="111">
        <v>0.0</v>
      </c>
      <c r="AK33" s="111">
        <v>0.0</v>
      </c>
      <c r="AL33" s="111">
        <v>0.0</v>
      </c>
      <c r="AM33" s="111">
        <v>0.0</v>
      </c>
      <c r="AN33" s="111">
        <v>0.0</v>
      </c>
      <c r="AO33" s="111">
        <v>0.0</v>
      </c>
      <c r="AP33" s="111">
        <v>0.0</v>
      </c>
      <c r="AQ33" s="111">
        <v>0.0</v>
      </c>
      <c r="AR33" s="111">
        <v>0.0</v>
      </c>
      <c r="AS33" s="111"/>
      <c r="AT33" s="142"/>
      <c r="AU33" s="142"/>
      <c r="AV33" s="111">
        <v>0.0</v>
      </c>
      <c r="AW33" s="111">
        <v>0.0</v>
      </c>
      <c r="AX33" s="111"/>
      <c r="AY33" s="111">
        <v>0.0</v>
      </c>
      <c r="AZ33" s="111">
        <v>0.0</v>
      </c>
      <c r="BA33" s="111">
        <v>0.0</v>
      </c>
      <c r="BB33" s="111">
        <v>0.0</v>
      </c>
      <c r="BC33" s="111">
        <v>0.0</v>
      </c>
      <c r="BD33" s="111">
        <v>0.0</v>
      </c>
      <c r="BE33" s="111">
        <v>0.0</v>
      </c>
      <c r="BF33" s="111"/>
      <c r="BG33" s="111"/>
      <c r="BH33" s="111"/>
      <c r="BI33" s="111"/>
      <c r="BJ33" s="142"/>
      <c r="BK33" s="111"/>
      <c r="BL33" s="111">
        <v>0.0</v>
      </c>
      <c r="BM33" s="111"/>
      <c r="BN33" s="111"/>
      <c r="BO33" s="111">
        <v>0.0</v>
      </c>
      <c r="BP33" s="111">
        <v>0.0</v>
      </c>
      <c r="BQ33" s="111">
        <v>0.0</v>
      </c>
      <c r="BR33" s="111">
        <v>0.0</v>
      </c>
      <c r="BS33" s="111">
        <v>0.0</v>
      </c>
      <c r="BT33" s="111">
        <v>0.0</v>
      </c>
      <c r="BU33" s="111">
        <v>0.0</v>
      </c>
      <c r="BV33" s="111"/>
      <c r="BW33" s="111"/>
      <c r="BX33" s="111"/>
      <c r="BY33" s="111"/>
      <c r="BZ33" s="142"/>
      <c r="CA33" s="111"/>
      <c r="CB33" s="111">
        <v>0.0</v>
      </c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>
        <v>1475.0</v>
      </c>
      <c r="CS33" s="111">
        <v>0.0</v>
      </c>
      <c r="CT33" s="111">
        <f t="shared" si="1"/>
        <v>29.5</v>
      </c>
      <c r="CU33" s="111"/>
      <c r="CV33" s="111"/>
      <c r="CW33" s="111"/>
      <c r="CX33" s="111"/>
      <c r="CY33" s="111"/>
      <c r="CZ33" s="111">
        <v>277.0</v>
      </c>
      <c r="DA33" s="111">
        <v>95.7</v>
      </c>
      <c r="DB33" s="111">
        <v>3.0</v>
      </c>
      <c r="DC33" s="111">
        <v>2.0</v>
      </c>
      <c r="DD33" s="111">
        <v>0.09</v>
      </c>
      <c r="DE33" s="111">
        <v>2.0</v>
      </c>
      <c r="DF33" s="111">
        <f t="shared" si="2"/>
        <v>18.77966102</v>
      </c>
      <c r="DG33" s="111"/>
      <c r="DH33" s="111"/>
      <c r="DI33" s="111"/>
      <c r="DJ33" s="111"/>
      <c r="DK33" s="111"/>
      <c r="DL33" s="111"/>
      <c r="DM33" s="111">
        <v>4.4</v>
      </c>
      <c r="DN33" s="149">
        <f>(DN32+DM33)</f>
        <v>321</v>
      </c>
      <c r="DO33" s="149">
        <v>0.4</v>
      </c>
      <c r="DP33" s="111"/>
      <c r="DQ33" s="111"/>
      <c r="DR33" s="111"/>
      <c r="DS33" s="111"/>
      <c r="DT33" s="111"/>
      <c r="DU33" s="111"/>
      <c r="DV33" s="111"/>
      <c r="DW33" s="111">
        <v>1860.0</v>
      </c>
      <c r="DX33" s="146">
        <f t="shared" si="3"/>
        <v>6.714801444</v>
      </c>
      <c r="DY33" s="111">
        <v>45.0</v>
      </c>
      <c r="DZ33" s="111"/>
      <c r="EA33" s="111"/>
      <c r="EB33" s="111"/>
      <c r="EC33" s="111"/>
      <c r="ED33" s="111">
        <v>4.55</v>
      </c>
      <c r="EE33" s="111"/>
      <c r="EF33" s="111"/>
      <c r="EG33" s="111"/>
      <c r="EH33" s="111"/>
      <c r="EI33" s="111"/>
      <c r="EJ33" s="111"/>
      <c r="EK33" s="147"/>
      <c r="EL33" s="111"/>
    </row>
    <row r="34" ht="17.25" customHeight="1">
      <c r="A34" s="148">
        <v>45945.0</v>
      </c>
      <c r="B34" s="111">
        <v>0.0</v>
      </c>
      <c r="C34" s="111"/>
      <c r="D34" s="111"/>
      <c r="E34" s="111">
        <v>40.0</v>
      </c>
      <c r="F34" s="111">
        <v>0.0</v>
      </c>
      <c r="G34" s="111">
        <v>0.0</v>
      </c>
      <c r="H34" s="111"/>
      <c r="I34" s="111"/>
      <c r="J34" s="111"/>
      <c r="K34" s="111"/>
      <c r="L34" s="111"/>
      <c r="M34" s="111">
        <v>0.0</v>
      </c>
      <c r="N34" s="111">
        <v>0.0</v>
      </c>
      <c r="O34" s="111">
        <v>0.0</v>
      </c>
      <c r="P34" s="111"/>
      <c r="Q34" s="111">
        <v>0.0</v>
      </c>
      <c r="R34" s="111">
        <v>0.0</v>
      </c>
      <c r="S34" s="111"/>
      <c r="T34" s="111">
        <v>0.0</v>
      </c>
      <c r="U34" s="111">
        <v>0.0</v>
      </c>
      <c r="V34" s="111"/>
      <c r="W34" s="111">
        <v>0.0</v>
      </c>
      <c r="X34" s="111">
        <v>0.0</v>
      </c>
      <c r="Y34" s="111"/>
      <c r="Z34" s="111">
        <v>0.0</v>
      </c>
      <c r="AA34" s="111">
        <v>0.0</v>
      </c>
      <c r="AB34" s="111"/>
      <c r="AC34" s="111">
        <v>0.0</v>
      </c>
      <c r="AD34" s="111">
        <v>0.0</v>
      </c>
      <c r="AE34" s="111"/>
      <c r="AF34" s="111">
        <v>0.0</v>
      </c>
      <c r="AG34" s="111">
        <v>0.0</v>
      </c>
      <c r="AH34" s="111"/>
      <c r="AI34" s="111">
        <v>0.0</v>
      </c>
      <c r="AJ34" s="111">
        <v>0.0</v>
      </c>
      <c r="AK34" s="111">
        <v>0.0</v>
      </c>
      <c r="AL34" s="111">
        <v>0.0</v>
      </c>
      <c r="AM34" s="111">
        <v>0.0</v>
      </c>
      <c r="AN34" s="111">
        <v>0.0</v>
      </c>
      <c r="AO34" s="111">
        <v>0.0</v>
      </c>
      <c r="AP34" s="111">
        <v>0.0</v>
      </c>
      <c r="AQ34" s="111">
        <v>0.0</v>
      </c>
      <c r="AR34" s="111">
        <v>0.0</v>
      </c>
      <c r="AS34" s="111"/>
      <c r="AT34" s="142"/>
      <c r="AU34" s="142"/>
      <c r="AV34" s="111">
        <v>0.0</v>
      </c>
      <c r="AW34" s="111">
        <v>0.0</v>
      </c>
      <c r="AX34" s="111"/>
      <c r="AY34" s="111">
        <v>0.0</v>
      </c>
      <c r="AZ34" s="111">
        <v>0.0</v>
      </c>
      <c r="BA34" s="111">
        <v>0.0</v>
      </c>
      <c r="BB34" s="111">
        <v>0.0</v>
      </c>
      <c r="BC34" s="111">
        <v>0.0</v>
      </c>
      <c r="BD34" s="111">
        <v>0.0</v>
      </c>
      <c r="BE34" s="111">
        <v>0.0</v>
      </c>
      <c r="BF34" s="111"/>
      <c r="BG34" s="111"/>
      <c r="BH34" s="111"/>
      <c r="BI34" s="111"/>
      <c r="BJ34" s="142"/>
      <c r="BK34" s="111"/>
      <c r="BL34" s="111">
        <v>0.0</v>
      </c>
      <c r="BM34" s="111"/>
      <c r="BN34" s="111"/>
      <c r="BO34" s="111">
        <v>0.0</v>
      </c>
      <c r="BP34" s="111">
        <v>0.0</v>
      </c>
      <c r="BQ34" s="111">
        <v>0.0</v>
      </c>
      <c r="BR34" s="111">
        <v>0.0</v>
      </c>
      <c r="BS34" s="111">
        <v>0.0</v>
      </c>
      <c r="BT34" s="111">
        <v>0.0</v>
      </c>
      <c r="BU34" s="111">
        <v>0.0</v>
      </c>
      <c r="BV34" s="111"/>
      <c r="BW34" s="111"/>
      <c r="BX34" s="111"/>
      <c r="BY34" s="111"/>
      <c r="BZ34" s="142"/>
      <c r="CA34" s="111"/>
      <c r="CB34" s="111">
        <v>0.0</v>
      </c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>
        <v>1401.0</v>
      </c>
      <c r="CS34" s="111">
        <v>0.0</v>
      </c>
      <c r="CT34" s="111">
        <f t="shared" si="1"/>
        <v>35.025</v>
      </c>
      <c r="CU34" s="111"/>
      <c r="CV34" s="111"/>
      <c r="CW34" s="111"/>
      <c r="CX34" s="111"/>
      <c r="CY34" s="111"/>
      <c r="CZ34" s="111">
        <v>410.0</v>
      </c>
      <c r="DA34" s="111">
        <v>96.2</v>
      </c>
      <c r="DB34" s="111">
        <v>2.3</v>
      </c>
      <c r="DC34" s="111">
        <v>2.0</v>
      </c>
      <c r="DD34" s="111">
        <v>0.08</v>
      </c>
      <c r="DE34" s="111">
        <v>2.0</v>
      </c>
      <c r="DF34" s="111">
        <f t="shared" si="2"/>
        <v>29.26481085</v>
      </c>
      <c r="DG34" s="111"/>
      <c r="DH34" s="111"/>
      <c r="DI34" s="111"/>
      <c r="DJ34" s="111"/>
      <c r="DK34" s="111"/>
      <c r="DL34" s="111"/>
      <c r="DM34" s="111">
        <v>4.4</v>
      </c>
      <c r="DN34" s="149">
        <f t="shared" ref="DN34:DN50" si="5">DN33+DM34</f>
        <v>325.4</v>
      </c>
      <c r="DO34" s="149">
        <v>0.0</v>
      </c>
      <c r="DP34" s="111"/>
      <c r="DQ34" s="111"/>
      <c r="DR34" s="111"/>
      <c r="DS34" s="111"/>
      <c r="DT34" s="111"/>
      <c r="DU34" s="111"/>
      <c r="DV34" s="111"/>
      <c r="DW34" s="111">
        <v>1575.0</v>
      </c>
      <c r="DX34" s="146">
        <f t="shared" si="3"/>
        <v>3.841463415</v>
      </c>
      <c r="DY34" s="111">
        <v>45.0</v>
      </c>
      <c r="DZ34" s="111"/>
      <c r="EA34" s="111"/>
      <c r="EB34" s="111"/>
      <c r="EC34" s="111"/>
      <c r="ED34" s="111">
        <v>3.2</v>
      </c>
      <c r="EE34" s="111"/>
      <c r="EF34" s="111"/>
      <c r="EG34" s="111"/>
      <c r="EH34" s="111"/>
      <c r="EI34" s="111"/>
      <c r="EJ34" s="111"/>
      <c r="EK34" s="147"/>
      <c r="EL34" s="111"/>
    </row>
    <row r="35" ht="17.25" customHeight="1">
      <c r="A35" s="148">
        <v>45946.0</v>
      </c>
      <c r="B35" s="24" t="s">
        <v>180</v>
      </c>
      <c r="C35" s="16"/>
      <c r="D35" s="16"/>
      <c r="E35" s="17"/>
      <c r="F35" s="111">
        <v>0.0</v>
      </c>
      <c r="G35" s="111">
        <v>0.0</v>
      </c>
      <c r="H35" s="111"/>
      <c r="I35" s="111"/>
      <c r="J35" s="111"/>
      <c r="K35" s="111"/>
      <c r="L35" s="111"/>
      <c r="M35" s="111">
        <v>0.0</v>
      </c>
      <c r="N35" s="111">
        <v>0.0</v>
      </c>
      <c r="O35" s="111">
        <v>0.0</v>
      </c>
      <c r="P35" s="111"/>
      <c r="Q35" s="111">
        <v>0.0</v>
      </c>
      <c r="R35" s="111">
        <v>0.0</v>
      </c>
      <c r="S35" s="111"/>
      <c r="T35" s="111">
        <v>0.0</v>
      </c>
      <c r="U35" s="111">
        <v>0.0</v>
      </c>
      <c r="V35" s="111"/>
      <c r="W35" s="111">
        <v>0.0</v>
      </c>
      <c r="X35" s="111">
        <v>0.0</v>
      </c>
      <c r="Y35" s="111"/>
      <c r="Z35" s="111">
        <v>0.0</v>
      </c>
      <c r="AA35" s="111">
        <v>0.0</v>
      </c>
      <c r="AB35" s="111"/>
      <c r="AC35" s="111">
        <v>0.0</v>
      </c>
      <c r="AD35" s="111">
        <v>0.0</v>
      </c>
      <c r="AE35" s="111"/>
      <c r="AF35" s="111">
        <v>0.0</v>
      </c>
      <c r="AG35" s="111">
        <v>0.0</v>
      </c>
      <c r="AH35" s="111"/>
      <c r="AI35" s="111">
        <v>0.0</v>
      </c>
      <c r="AJ35" s="111">
        <v>0.0</v>
      </c>
      <c r="AK35" s="111">
        <v>0.0</v>
      </c>
      <c r="AL35" s="111">
        <v>0.0</v>
      </c>
      <c r="AM35" s="111">
        <v>0.0</v>
      </c>
      <c r="AN35" s="111">
        <v>0.0</v>
      </c>
      <c r="AO35" s="111">
        <v>0.0</v>
      </c>
      <c r="AP35" s="111">
        <v>0.0</v>
      </c>
      <c r="AQ35" s="111">
        <v>0.0</v>
      </c>
      <c r="AR35" s="111">
        <v>0.0</v>
      </c>
      <c r="AS35" s="111"/>
      <c r="AT35" s="142"/>
      <c r="AU35" s="142"/>
      <c r="AV35" s="111">
        <v>0.0</v>
      </c>
      <c r="AW35" s="111">
        <v>0.0</v>
      </c>
      <c r="AX35" s="111"/>
      <c r="AY35" s="111">
        <v>0.0</v>
      </c>
      <c r="AZ35" s="111">
        <v>0.0</v>
      </c>
      <c r="BA35" s="111">
        <v>0.0</v>
      </c>
      <c r="BB35" s="111">
        <v>0.0</v>
      </c>
      <c r="BC35" s="111">
        <v>0.0</v>
      </c>
      <c r="BD35" s="111">
        <v>0.0</v>
      </c>
      <c r="BE35" s="111">
        <v>0.0</v>
      </c>
      <c r="BF35" s="111"/>
      <c r="BG35" s="111"/>
      <c r="BH35" s="111"/>
      <c r="BI35" s="111"/>
      <c r="BJ35" s="142"/>
      <c r="BK35" s="111"/>
      <c r="BL35" s="111">
        <v>0.0</v>
      </c>
      <c r="BM35" s="111"/>
      <c r="BN35" s="111"/>
      <c r="BO35" s="111">
        <v>0.0</v>
      </c>
      <c r="BP35" s="111">
        <v>0.0</v>
      </c>
      <c r="BQ35" s="111">
        <v>0.0</v>
      </c>
      <c r="BR35" s="111">
        <v>0.0</v>
      </c>
      <c r="BS35" s="111">
        <v>0.0</v>
      </c>
      <c r="BT35" s="111">
        <v>0.0</v>
      </c>
      <c r="BU35" s="111">
        <v>0.0</v>
      </c>
      <c r="BV35" s="111"/>
      <c r="BW35" s="111"/>
      <c r="BX35" s="111"/>
      <c r="BY35" s="111"/>
      <c r="BZ35" s="142"/>
      <c r="CA35" s="111"/>
      <c r="CB35" s="111">
        <v>0.0</v>
      </c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>
        <v>0.0</v>
      </c>
      <c r="CS35" s="111">
        <v>0.0</v>
      </c>
      <c r="CT35" s="111">
        <v>0.0</v>
      </c>
      <c r="CU35" s="111"/>
      <c r="CV35" s="111"/>
      <c r="CW35" s="111"/>
      <c r="CX35" s="111"/>
      <c r="CY35" s="111"/>
      <c r="CZ35" s="111">
        <v>0.0</v>
      </c>
      <c r="DA35" s="111">
        <v>0.0</v>
      </c>
      <c r="DB35" s="111">
        <v>0.0</v>
      </c>
      <c r="DC35" s="111">
        <v>0.0</v>
      </c>
      <c r="DD35" s="111">
        <v>0.0</v>
      </c>
      <c r="DE35" s="111">
        <v>0.0</v>
      </c>
      <c r="DF35" s="111" t="str">
        <f t="shared" si="2"/>
        <v>#DIV/0!</v>
      </c>
      <c r="DG35" s="111"/>
      <c r="DH35" s="111"/>
      <c r="DI35" s="111"/>
      <c r="DJ35" s="111"/>
      <c r="DK35" s="111"/>
      <c r="DL35" s="111"/>
      <c r="DM35" s="111">
        <v>4.8</v>
      </c>
      <c r="DN35" s="149">
        <f t="shared" si="5"/>
        <v>330.2</v>
      </c>
      <c r="DO35" s="149">
        <v>0.48</v>
      </c>
      <c r="DP35" s="111"/>
      <c r="DQ35" s="111"/>
      <c r="DR35" s="111"/>
      <c r="DS35" s="111"/>
      <c r="DT35" s="111"/>
      <c r="DU35" s="111"/>
      <c r="DV35" s="111"/>
      <c r="DW35" s="111">
        <v>1575.0</v>
      </c>
      <c r="DX35" s="146">
        <v>0.0</v>
      </c>
      <c r="DY35" s="111">
        <v>45.0</v>
      </c>
      <c r="DZ35" s="111"/>
      <c r="EA35" s="111"/>
      <c r="EB35" s="111"/>
      <c r="EC35" s="111"/>
      <c r="ED35" s="111">
        <v>0.0</v>
      </c>
      <c r="EE35" s="111"/>
      <c r="EF35" s="111"/>
      <c r="EG35" s="111"/>
      <c r="EH35" s="111"/>
      <c r="EI35" s="111"/>
      <c r="EJ35" s="111"/>
      <c r="EK35" s="147"/>
      <c r="EL35" s="111"/>
    </row>
    <row r="36" ht="17.25" customHeight="1">
      <c r="A36" s="148">
        <v>45947.0</v>
      </c>
      <c r="B36" s="111">
        <v>0.0</v>
      </c>
      <c r="C36" s="111"/>
      <c r="D36" s="111"/>
      <c r="E36" s="111">
        <v>0.0</v>
      </c>
      <c r="F36" s="111">
        <v>0.0</v>
      </c>
      <c r="G36" s="111">
        <v>0.0</v>
      </c>
      <c r="H36" s="111"/>
      <c r="I36" s="111"/>
      <c r="J36" s="111"/>
      <c r="K36" s="111"/>
      <c r="L36" s="111"/>
      <c r="M36" s="111">
        <v>0.0</v>
      </c>
      <c r="N36" s="111">
        <v>0.0</v>
      </c>
      <c r="O36" s="111">
        <v>0.0</v>
      </c>
      <c r="P36" s="111"/>
      <c r="Q36" s="111">
        <v>0.0</v>
      </c>
      <c r="R36" s="111">
        <v>0.0</v>
      </c>
      <c r="S36" s="111"/>
      <c r="T36" s="111">
        <v>0.0</v>
      </c>
      <c r="U36" s="111">
        <v>0.0</v>
      </c>
      <c r="V36" s="111"/>
      <c r="W36" s="111">
        <v>0.0</v>
      </c>
      <c r="X36" s="111">
        <v>0.0</v>
      </c>
      <c r="Y36" s="111"/>
      <c r="Z36" s="111">
        <v>0.0</v>
      </c>
      <c r="AA36" s="111">
        <v>0.0</v>
      </c>
      <c r="AB36" s="111"/>
      <c r="AC36" s="111">
        <v>0.0</v>
      </c>
      <c r="AD36" s="111">
        <v>0.0</v>
      </c>
      <c r="AE36" s="111"/>
      <c r="AF36" s="111">
        <v>0.0</v>
      </c>
      <c r="AG36" s="111">
        <v>0.0</v>
      </c>
      <c r="AH36" s="111"/>
      <c r="AI36" s="111">
        <v>0.0</v>
      </c>
      <c r="AJ36" s="111">
        <v>0.0</v>
      </c>
      <c r="AK36" s="111">
        <v>0.0</v>
      </c>
      <c r="AL36" s="111">
        <v>0.0</v>
      </c>
      <c r="AM36" s="111">
        <v>0.0</v>
      </c>
      <c r="AN36" s="111">
        <v>0.0</v>
      </c>
      <c r="AO36" s="111">
        <v>0.0</v>
      </c>
      <c r="AP36" s="111">
        <v>0.0</v>
      </c>
      <c r="AQ36" s="111">
        <v>0.0</v>
      </c>
      <c r="AR36" s="111">
        <v>0.0</v>
      </c>
      <c r="AS36" s="111"/>
      <c r="AT36" s="142"/>
      <c r="AU36" s="142"/>
      <c r="AV36" s="111">
        <v>0.0</v>
      </c>
      <c r="AW36" s="111">
        <v>0.0</v>
      </c>
      <c r="AX36" s="111"/>
      <c r="AY36" s="111">
        <v>0.0</v>
      </c>
      <c r="AZ36" s="111">
        <v>0.0</v>
      </c>
      <c r="BA36" s="111">
        <v>0.0</v>
      </c>
      <c r="BB36" s="111">
        <v>0.0</v>
      </c>
      <c r="BC36" s="111">
        <v>0.0</v>
      </c>
      <c r="BD36" s="111">
        <v>0.0</v>
      </c>
      <c r="BE36" s="111">
        <v>0.0</v>
      </c>
      <c r="BF36" s="111"/>
      <c r="BG36" s="111"/>
      <c r="BH36" s="111"/>
      <c r="BI36" s="111"/>
      <c r="BJ36" s="142"/>
      <c r="BK36" s="111"/>
      <c r="BL36" s="111">
        <v>0.0</v>
      </c>
      <c r="BM36" s="111"/>
      <c r="BN36" s="111"/>
      <c r="BO36" s="111">
        <v>0.0</v>
      </c>
      <c r="BP36" s="111">
        <v>0.0</v>
      </c>
      <c r="BQ36" s="111">
        <v>0.0</v>
      </c>
      <c r="BR36" s="111">
        <v>0.0</v>
      </c>
      <c r="BS36" s="111">
        <v>0.0</v>
      </c>
      <c r="BT36" s="111">
        <v>0.0</v>
      </c>
      <c r="BU36" s="111">
        <v>0.0</v>
      </c>
      <c r="BV36" s="111"/>
      <c r="BW36" s="111"/>
      <c r="BX36" s="111"/>
      <c r="BY36" s="111"/>
      <c r="BZ36" s="142"/>
      <c r="CA36" s="111"/>
      <c r="CB36" s="111">
        <v>0.0</v>
      </c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>
        <v>0.0</v>
      </c>
      <c r="CS36" s="111">
        <v>0.0</v>
      </c>
      <c r="CT36" s="111">
        <v>0.0</v>
      </c>
      <c r="CU36" s="111"/>
      <c r="CV36" s="111"/>
      <c r="CW36" s="111"/>
      <c r="CX36" s="111"/>
      <c r="CY36" s="111"/>
      <c r="CZ36" s="111">
        <v>0.0</v>
      </c>
      <c r="DA36" s="111">
        <v>0.0</v>
      </c>
      <c r="DB36" s="111">
        <v>0.0</v>
      </c>
      <c r="DC36" s="111">
        <v>0.0</v>
      </c>
      <c r="DD36" s="111">
        <v>0.0</v>
      </c>
      <c r="DE36" s="111">
        <v>0.0</v>
      </c>
      <c r="DF36" s="111" t="str">
        <f t="shared" si="2"/>
        <v>#DIV/0!</v>
      </c>
      <c r="DG36" s="111"/>
      <c r="DH36" s="111"/>
      <c r="DI36" s="111"/>
      <c r="DJ36" s="111"/>
      <c r="DK36" s="111"/>
      <c r="DL36" s="111"/>
      <c r="DM36" s="111">
        <v>0.0</v>
      </c>
      <c r="DN36" s="149">
        <f t="shared" si="5"/>
        <v>330.2</v>
      </c>
      <c r="DO36" s="149">
        <v>0.0</v>
      </c>
      <c r="DP36" s="111"/>
      <c r="DQ36" s="111"/>
      <c r="DR36" s="111"/>
      <c r="DS36" s="111"/>
      <c r="DT36" s="111"/>
      <c r="DU36" s="111"/>
      <c r="DV36" s="111"/>
      <c r="DW36" s="111">
        <v>480.0</v>
      </c>
      <c r="DX36" s="146">
        <v>0.0</v>
      </c>
      <c r="DY36" s="111">
        <v>45.0</v>
      </c>
      <c r="DZ36" s="111"/>
      <c r="EA36" s="111"/>
      <c r="EB36" s="111"/>
      <c r="EC36" s="111"/>
      <c r="ED36" s="111">
        <v>0.0</v>
      </c>
      <c r="EE36" s="111"/>
      <c r="EF36" s="111"/>
      <c r="EG36" s="111"/>
      <c r="EH36" s="111"/>
      <c r="EI36" s="111"/>
      <c r="EJ36" s="111"/>
      <c r="EK36" s="147"/>
      <c r="EL36" s="111"/>
    </row>
    <row r="37" ht="17.25" customHeight="1">
      <c r="A37" s="148">
        <v>45948.0</v>
      </c>
      <c r="B37" s="111">
        <v>0.0</v>
      </c>
      <c r="C37" s="111"/>
      <c r="D37" s="111"/>
      <c r="E37" s="111">
        <v>0.0</v>
      </c>
      <c r="F37" s="111">
        <v>0.0</v>
      </c>
      <c r="G37" s="111">
        <v>0.0</v>
      </c>
      <c r="H37" s="111"/>
      <c r="I37" s="111"/>
      <c r="J37" s="111"/>
      <c r="K37" s="111"/>
      <c r="L37" s="111"/>
      <c r="M37" s="111">
        <v>0.0</v>
      </c>
      <c r="N37" s="111">
        <v>0.0</v>
      </c>
      <c r="O37" s="111">
        <v>0.0</v>
      </c>
      <c r="P37" s="111"/>
      <c r="Q37" s="111">
        <v>0.0</v>
      </c>
      <c r="R37" s="111">
        <v>0.0</v>
      </c>
      <c r="S37" s="111"/>
      <c r="T37" s="111">
        <v>0.0</v>
      </c>
      <c r="U37" s="111">
        <v>0.0</v>
      </c>
      <c r="V37" s="111"/>
      <c r="W37" s="111">
        <v>0.0</v>
      </c>
      <c r="X37" s="111">
        <v>0.0</v>
      </c>
      <c r="Y37" s="111"/>
      <c r="Z37" s="111">
        <v>0.0</v>
      </c>
      <c r="AA37" s="111">
        <v>0.0</v>
      </c>
      <c r="AB37" s="111"/>
      <c r="AC37" s="111">
        <v>0.0</v>
      </c>
      <c r="AD37" s="111">
        <v>0.0</v>
      </c>
      <c r="AE37" s="111"/>
      <c r="AF37" s="111">
        <v>0.0</v>
      </c>
      <c r="AG37" s="111">
        <v>0.0</v>
      </c>
      <c r="AH37" s="111"/>
      <c r="AI37" s="111">
        <v>0.0</v>
      </c>
      <c r="AJ37" s="111">
        <v>0.0</v>
      </c>
      <c r="AK37" s="111">
        <v>0.0</v>
      </c>
      <c r="AL37" s="111">
        <v>0.0</v>
      </c>
      <c r="AM37" s="111">
        <v>0.0</v>
      </c>
      <c r="AN37" s="111">
        <v>0.0</v>
      </c>
      <c r="AO37" s="111">
        <v>0.0</v>
      </c>
      <c r="AP37" s="111">
        <v>0.0</v>
      </c>
      <c r="AQ37" s="111">
        <v>0.0</v>
      </c>
      <c r="AR37" s="111">
        <v>0.0</v>
      </c>
      <c r="AS37" s="111"/>
      <c r="AT37" s="142"/>
      <c r="AU37" s="142"/>
      <c r="AV37" s="111">
        <v>0.0</v>
      </c>
      <c r="AW37" s="111">
        <v>0.0</v>
      </c>
      <c r="AX37" s="111"/>
      <c r="AY37" s="111">
        <v>0.0</v>
      </c>
      <c r="AZ37" s="111">
        <v>0.0</v>
      </c>
      <c r="BA37" s="111">
        <v>0.0</v>
      </c>
      <c r="BB37" s="111">
        <v>0.0</v>
      </c>
      <c r="BC37" s="111">
        <v>0.0</v>
      </c>
      <c r="BD37" s="111">
        <v>0.0</v>
      </c>
      <c r="BE37" s="111">
        <v>0.0</v>
      </c>
      <c r="BF37" s="111"/>
      <c r="BG37" s="111"/>
      <c r="BH37" s="111"/>
      <c r="BI37" s="111"/>
      <c r="BJ37" s="142"/>
      <c r="BK37" s="111"/>
      <c r="BL37" s="111">
        <v>0.0</v>
      </c>
      <c r="BM37" s="111"/>
      <c r="BN37" s="111"/>
      <c r="BO37" s="111">
        <v>0.0</v>
      </c>
      <c r="BP37" s="111">
        <v>0.0</v>
      </c>
      <c r="BQ37" s="111">
        <v>0.0</v>
      </c>
      <c r="BR37" s="111">
        <v>0.0</v>
      </c>
      <c r="BS37" s="111">
        <v>0.0</v>
      </c>
      <c r="BT37" s="111">
        <v>0.0</v>
      </c>
      <c r="BU37" s="111">
        <v>0.0</v>
      </c>
      <c r="BV37" s="111"/>
      <c r="BW37" s="111"/>
      <c r="BX37" s="111"/>
      <c r="BY37" s="111"/>
      <c r="BZ37" s="142"/>
      <c r="CA37" s="111"/>
      <c r="CB37" s="111">
        <v>0.0</v>
      </c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>
        <v>0.0</v>
      </c>
      <c r="CS37" s="111">
        <v>0.0</v>
      </c>
      <c r="CT37" s="111">
        <v>0.0</v>
      </c>
      <c r="CU37" s="111"/>
      <c r="CV37" s="111"/>
      <c r="CW37" s="111"/>
      <c r="CX37" s="111"/>
      <c r="CY37" s="111"/>
      <c r="CZ37" s="111">
        <v>0.0</v>
      </c>
      <c r="DA37" s="111">
        <v>0.0</v>
      </c>
      <c r="DB37" s="111">
        <v>0.0</v>
      </c>
      <c r="DC37" s="111">
        <v>0.0</v>
      </c>
      <c r="DD37" s="111">
        <v>0.0</v>
      </c>
      <c r="DE37" s="111">
        <v>0.0</v>
      </c>
      <c r="DF37" s="111" t="str">
        <f t="shared" si="2"/>
        <v>#DIV/0!</v>
      </c>
      <c r="DG37" s="111"/>
      <c r="DH37" s="111"/>
      <c r="DI37" s="111"/>
      <c r="DJ37" s="111"/>
      <c r="DK37" s="111"/>
      <c r="DL37" s="111"/>
      <c r="DM37" s="111">
        <v>4.4</v>
      </c>
      <c r="DN37" s="149">
        <f t="shared" si="5"/>
        <v>334.6</v>
      </c>
      <c r="DO37" s="149">
        <v>0.0</v>
      </c>
      <c r="DP37" s="111"/>
      <c r="DQ37" s="111"/>
      <c r="DR37" s="111"/>
      <c r="DS37" s="111"/>
      <c r="DT37" s="111"/>
      <c r="DU37" s="111"/>
      <c r="DV37" s="111"/>
      <c r="DW37" s="111">
        <v>915.0</v>
      </c>
      <c r="DX37" s="146">
        <v>0.0</v>
      </c>
      <c r="DY37" s="111">
        <v>45.0</v>
      </c>
      <c r="DZ37" s="111"/>
      <c r="EA37" s="111"/>
      <c r="EB37" s="111"/>
      <c r="EC37" s="111"/>
      <c r="ED37" s="111">
        <v>0.0</v>
      </c>
      <c r="EE37" s="111"/>
      <c r="EF37" s="111"/>
      <c r="EG37" s="111"/>
      <c r="EH37" s="111"/>
      <c r="EI37" s="111"/>
      <c r="EJ37" s="111"/>
      <c r="EK37" s="147"/>
      <c r="EL37" s="111"/>
    </row>
    <row r="38" ht="17.25" customHeight="1">
      <c r="A38" s="148">
        <v>45949.0</v>
      </c>
      <c r="B38" s="111">
        <v>0.0</v>
      </c>
      <c r="C38" s="111"/>
      <c r="D38" s="111"/>
      <c r="E38" s="111">
        <v>0.0</v>
      </c>
      <c r="F38" s="111">
        <v>0.0</v>
      </c>
      <c r="G38" s="111">
        <v>0.0</v>
      </c>
      <c r="H38" s="111"/>
      <c r="I38" s="111"/>
      <c r="J38" s="111"/>
      <c r="K38" s="111"/>
      <c r="L38" s="111"/>
      <c r="M38" s="111">
        <v>0.0</v>
      </c>
      <c r="N38" s="111">
        <v>0.0</v>
      </c>
      <c r="O38" s="111">
        <v>0.0</v>
      </c>
      <c r="P38" s="111"/>
      <c r="Q38" s="111">
        <v>0.0</v>
      </c>
      <c r="R38" s="111">
        <v>0.0</v>
      </c>
      <c r="S38" s="111"/>
      <c r="T38" s="111">
        <v>0.0</v>
      </c>
      <c r="U38" s="111">
        <v>0.0</v>
      </c>
      <c r="V38" s="111"/>
      <c r="W38" s="111">
        <v>0.0</v>
      </c>
      <c r="X38" s="111">
        <v>0.0</v>
      </c>
      <c r="Y38" s="111"/>
      <c r="Z38" s="111">
        <v>0.0</v>
      </c>
      <c r="AA38" s="111">
        <v>0.0</v>
      </c>
      <c r="AB38" s="111"/>
      <c r="AC38" s="111">
        <v>0.0</v>
      </c>
      <c r="AD38" s="111">
        <v>0.0</v>
      </c>
      <c r="AE38" s="111"/>
      <c r="AF38" s="111">
        <v>0.0</v>
      </c>
      <c r="AG38" s="111">
        <v>0.0</v>
      </c>
      <c r="AH38" s="111"/>
      <c r="AI38" s="111">
        <v>0.0</v>
      </c>
      <c r="AJ38" s="111">
        <v>0.0</v>
      </c>
      <c r="AK38" s="111">
        <v>0.0</v>
      </c>
      <c r="AL38" s="111">
        <v>0.0</v>
      </c>
      <c r="AM38" s="111">
        <v>0.0</v>
      </c>
      <c r="AN38" s="111">
        <v>0.0</v>
      </c>
      <c r="AO38" s="111">
        <v>0.0</v>
      </c>
      <c r="AP38" s="111">
        <v>0.0</v>
      </c>
      <c r="AQ38" s="111">
        <v>0.0</v>
      </c>
      <c r="AR38" s="111">
        <v>0.0</v>
      </c>
      <c r="AS38" s="111"/>
      <c r="AT38" s="142"/>
      <c r="AU38" s="142"/>
      <c r="AV38" s="111">
        <v>0.0</v>
      </c>
      <c r="AW38" s="111">
        <v>0.0</v>
      </c>
      <c r="AX38" s="111"/>
      <c r="AY38" s="111">
        <v>0.0</v>
      </c>
      <c r="AZ38" s="111">
        <v>0.0</v>
      </c>
      <c r="BA38" s="111">
        <v>0.0</v>
      </c>
      <c r="BB38" s="111">
        <v>0.0</v>
      </c>
      <c r="BC38" s="111">
        <v>0.0</v>
      </c>
      <c r="BD38" s="111">
        <v>0.0</v>
      </c>
      <c r="BE38" s="111">
        <v>0.0</v>
      </c>
      <c r="BF38" s="111"/>
      <c r="BG38" s="111"/>
      <c r="BH38" s="111"/>
      <c r="BI38" s="111"/>
      <c r="BJ38" s="142"/>
      <c r="BK38" s="111"/>
      <c r="BL38" s="111">
        <v>0.0</v>
      </c>
      <c r="BM38" s="111"/>
      <c r="BN38" s="111"/>
      <c r="BO38" s="111">
        <v>0.0</v>
      </c>
      <c r="BP38" s="111">
        <v>0.0</v>
      </c>
      <c r="BQ38" s="111">
        <v>0.0</v>
      </c>
      <c r="BR38" s="111">
        <v>0.0</v>
      </c>
      <c r="BS38" s="111">
        <v>0.0</v>
      </c>
      <c r="BT38" s="111">
        <v>0.0</v>
      </c>
      <c r="BU38" s="111">
        <v>0.0</v>
      </c>
      <c r="BV38" s="111"/>
      <c r="BW38" s="111"/>
      <c r="BX38" s="111"/>
      <c r="BY38" s="111"/>
      <c r="BZ38" s="142"/>
      <c r="CA38" s="111"/>
      <c r="CB38" s="111">
        <v>0.0</v>
      </c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>
        <v>0.0</v>
      </c>
      <c r="CS38" s="111">
        <v>0.0</v>
      </c>
      <c r="CT38" s="111">
        <v>0.0</v>
      </c>
      <c r="CU38" s="111"/>
      <c r="CV38" s="111"/>
      <c r="CW38" s="111"/>
      <c r="CX38" s="111"/>
      <c r="CY38" s="111"/>
      <c r="CZ38" s="111">
        <v>0.0</v>
      </c>
      <c r="DA38" s="111">
        <v>0.0</v>
      </c>
      <c r="DB38" s="111">
        <v>0.0</v>
      </c>
      <c r="DC38" s="111">
        <v>0.0</v>
      </c>
      <c r="DD38" s="111">
        <v>0.0</v>
      </c>
      <c r="DE38" s="111">
        <v>0.0</v>
      </c>
      <c r="DF38" s="111" t="str">
        <f t="shared" si="2"/>
        <v>#DIV/0!</v>
      </c>
      <c r="DG38" s="111"/>
      <c r="DH38" s="111"/>
      <c r="DI38" s="111"/>
      <c r="DJ38" s="111"/>
      <c r="DK38" s="111"/>
      <c r="DL38" s="111"/>
      <c r="DM38" s="111">
        <v>1.6</v>
      </c>
      <c r="DN38" s="149">
        <f t="shared" si="5"/>
        <v>336.2</v>
      </c>
      <c r="DO38" s="149">
        <v>0.0</v>
      </c>
      <c r="DP38" s="111"/>
      <c r="DQ38" s="111"/>
      <c r="DR38" s="111"/>
      <c r="DS38" s="111"/>
      <c r="DT38" s="111"/>
      <c r="DU38" s="111"/>
      <c r="DV38" s="111"/>
      <c r="DW38" s="111">
        <v>315.0</v>
      </c>
      <c r="DX38" s="146">
        <v>0.0</v>
      </c>
      <c r="DY38" s="111">
        <v>45.0</v>
      </c>
      <c r="DZ38" s="111"/>
      <c r="EA38" s="111"/>
      <c r="EB38" s="111"/>
      <c r="EC38" s="111"/>
      <c r="ED38" s="111">
        <v>0.0</v>
      </c>
      <c r="EE38" s="111"/>
      <c r="EF38" s="111"/>
      <c r="EG38" s="111"/>
      <c r="EH38" s="111"/>
      <c r="EI38" s="111"/>
      <c r="EJ38" s="111"/>
      <c r="EK38" s="147"/>
      <c r="EL38" s="111"/>
    </row>
    <row r="39" ht="17.25" customHeight="1">
      <c r="A39" s="148">
        <v>45950.0</v>
      </c>
      <c r="B39" s="111">
        <v>0.0</v>
      </c>
      <c r="C39" s="111"/>
      <c r="D39" s="111"/>
      <c r="E39" s="111">
        <v>0.0</v>
      </c>
      <c r="F39" s="111">
        <v>0.0</v>
      </c>
      <c r="G39" s="111">
        <v>0.0</v>
      </c>
      <c r="H39" s="111"/>
      <c r="I39" s="111"/>
      <c r="J39" s="111"/>
      <c r="K39" s="111"/>
      <c r="L39" s="111"/>
      <c r="M39" s="111">
        <v>0.0</v>
      </c>
      <c r="N39" s="111">
        <v>0.0</v>
      </c>
      <c r="O39" s="111">
        <v>0.0</v>
      </c>
      <c r="P39" s="111"/>
      <c r="Q39" s="111">
        <v>0.0</v>
      </c>
      <c r="R39" s="111">
        <v>0.0</v>
      </c>
      <c r="S39" s="111"/>
      <c r="T39" s="111">
        <v>0.0</v>
      </c>
      <c r="U39" s="111">
        <v>0.0</v>
      </c>
      <c r="V39" s="111"/>
      <c r="W39" s="111">
        <v>0.0</v>
      </c>
      <c r="X39" s="111">
        <v>0.0</v>
      </c>
      <c r="Y39" s="111"/>
      <c r="Z39" s="111">
        <v>0.0</v>
      </c>
      <c r="AA39" s="111">
        <v>0.0</v>
      </c>
      <c r="AB39" s="111"/>
      <c r="AC39" s="111">
        <v>0.0</v>
      </c>
      <c r="AD39" s="111">
        <v>0.0</v>
      </c>
      <c r="AE39" s="111"/>
      <c r="AF39" s="111">
        <v>0.0</v>
      </c>
      <c r="AG39" s="111">
        <v>0.0</v>
      </c>
      <c r="AH39" s="111"/>
      <c r="AI39" s="111">
        <v>0.0</v>
      </c>
      <c r="AJ39" s="111">
        <v>0.0</v>
      </c>
      <c r="AK39" s="111">
        <v>0.0</v>
      </c>
      <c r="AL39" s="111">
        <v>0.0</v>
      </c>
      <c r="AM39" s="111">
        <v>0.0</v>
      </c>
      <c r="AN39" s="111">
        <v>0.0</v>
      </c>
      <c r="AO39" s="111">
        <v>0.0</v>
      </c>
      <c r="AP39" s="111">
        <v>0.0</v>
      </c>
      <c r="AQ39" s="111">
        <v>0.0</v>
      </c>
      <c r="AR39" s="111">
        <v>0.0</v>
      </c>
      <c r="AS39" s="111"/>
      <c r="AT39" s="142"/>
      <c r="AU39" s="142"/>
      <c r="AV39" s="111">
        <v>0.0</v>
      </c>
      <c r="AW39" s="111">
        <v>0.0</v>
      </c>
      <c r="AX39" s="111"/>
      <c r="AY39" s="111">
        <v>0.0</v>
      </c>
      <c r="AZ39" s="111">
        <v>0.0</v>
      </c>
      <c r="BA39" s="111">
        <v>0.0</v>
      </c>
      <c r="BB39" s="111">
        <v>0.0</v>
      </c>
      <c r="BC39" s="111">
        <v>0.0</v>
      </c>
      <c r="BD39" s="111">
        <v>0.0</v>
      </c>
      <c r="BE39" s="111">
        <v>0.0</v>
      </c>
      <c r="BF39" s="111"/>
      <c r="BG39" s="111"/>
      <c r="BH39" s="111"/>
      <c r="BI39" s="111"/>
      <c r="BJ39" s="142"/>
      <c r="BK39" s="111"/>
      <c r="BL39" s="111">
        <v>0.0</v>
      </c>
      <c r="BM39" s="111"/>
      <c r="BN39" s="111"/>
      <c r="BO39" s="111">
        <v>0.0</v>
      </c>
      <c r="BP39" s="111">
        <v>0.0</v>
      </c>
      <c r="BQ39" s="111">
        <v>0.0</v>
      </c>
      <c r="BR39" s="111">
        <v>0.0</v>
      </c>
      <c r="BS39" s="111">
        <v>0.0</v>
      </c>
      <c r="BT39" s="111">
        <v>0.0</v>
      </c>
      <c r="BU39" s="111">
        <v>0.0</v>
      </c>
      <c r="BV39" s="111"/>
      <c r="BW39" s="111"/>
      <c r="BX39" s="111"/>
      <c r="BY39" s="111"/>
      <c r="BZ39" s="142"/>
      <c r="CA39" s="111"/>
      <c r="CB39" s="111">
        <v>0.0</v>
      </c>
      <c r="CC39" s="111"/>
      <c r="CD39" s="111"/>
      <c r="CE39" s="111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11">
        <v>0.0</v>
      </c>
      <c r="CS39" s="111">
        <v>0.0</v>
      </c>
      <c r="CT39" s="111">
        <v>0.0</v>
      </c>
      <c r="CU39" s="111"/>
      <c r="CV39" s="111"/>
      <c r="CW39" s="111"/>
      <c r="CX39" s="111"/>
      <c r="CY39" s="111"/>
      <c r="CZ39" s="111">
        <v>0.0</v>
      </c>
      <c r="DA39" s="111">
        <v>0.0</v>
      </c>
      <c r="DB39" s="111">
        <v>0.0</v>
      </c>
      <c r="DC39" s="111">
        <v>0.0</v>
      </c>
      <c r="DD39" s="111">
        <v>0.0</v>
      </c>
      <c r="DE39" s="111">
        <v>0.0</v>
      </c>
      <c r="DF39" s="111" t="str">
        <f t="shared" si="2"/>
        <v>#DIV/0!</v>
      </c>
      <c r="DG39" s="111"/>
      <c r="DH39" s="111"/>
      <c r="DI39" s="111"/>
      <c r="DJ39" s="111"/>
      <c r="DK39" s="111"/>
      <c r="DL39" s="111"/>
      <c r="DM39" s="111">
        <v>0.0</v>
      </c>
      <c r="DN39" s="149">
        <f t="shared" si="5"/>
        <v>336.2</v>
      </c>
      <c r="DO39" s="149">
        <v>1.8</v>
      </c>
      <c r="DP39" s="111"/>
      <c r="DQ39" s="111"/>
      <c r="DR39" s="111"/>
      <c r="DS39" s="111"/>
      <c r="DT39" s="111"/>
      <c r="DU39" s="111"/>
      <c r="DV39" s="111"/>
      <c r="DW39" s="111">
        <v>405.0</v>
      </c>
      <c r="DX39" s="146">
        <v>0.0</v>
      </c>
      <c r="DY39" s="111">
        <v>45.0</v>
      </c>
      <c r="DZ39" s="111"/>
      <c r="EA39" s="111"/>
      <c r="EB39" s="111"/>
      <c r="EC39" s="111"/>
      <c r="ED39" s="111">
        <v>0.0</v>
      </c>
      <c r="EE39" s="111"/>
      <c r="EF39" s="111"/>
      <c r="EG39" s="111"/>
      <c r="EH39" s="111"/>
      <c r="EI39" s="111"/>
      <c r="EJ39" s="111"/>
      <c r="EK39" s="147"/>
      <c r="EL39" s="111"/>
    </row>
    <row r="40" ht="17.25" customHeight="1">
      <c r="A40" s="148">
        <v>45951.0</v>
      </c>
      <c r="B40" s="111">
        <v>0.0</v>
      </c>
      <c r="C40" s="111"/>
      <c r="D40" s="111"/>
      <c r="E40" s="111">
        <v>0.0</v>
      </c>
      <c r="F40" s="111">
        <v>0.0</v>
      </c>
      <c r="G40" s="111">
        <v>0.0</v>
      </c>
      <c r="H40" s="111"/>
      <c r="I40" s="111"/>
      <c r="J40" s="111"/>
      <c r="K40" s="111"/>
      <c r="L40" s="111"/>
      <c r="M40" s="111">
        <v>0.0</v>
      </c>
      <c r="N40" s="111">
        <v>0.0</v>
      </c>
      <c r="O40" s="111">
        <v>0.0</v>
      </c>
      <c r="P40" s="111"/>
      <c r="Q40" s="111">
        <v>0.0</v>
      </c>
      <c r="R40" s="111">
        <v>0.0</v>
      </c>
      <c r="S40" s="111"/>
      <c r="T40" s="111">
        <v>0.0</v>
      </c>
      <c r="U40" s="111">
        <v>0.0</v>
      </c>
      <c r="V40" s="111"/>
      <c r="W40" s="111">
        <v>0.0</v>
      </c>
      <c r="X40" s="111">
        <v>0.0</v>
      </c>
      <c r="Y40" s="111"/>
      <c r="Z40" s="111">
        <v>0.0</v>
      </c>
      <c r="AA40" s="111">
        <v>0.0</v>
      </c>
      <c r="AB40" s="111"/>
      <c r="AC40" s="111">
        <v>0.0</v>
      </c>
      <c r="AD40" s="111">
        <v>0.0</v>
      </c>
      <c r="AE40" s="111"/>
      <c r="AF40" s="111">
        <v>0.0</v>
      </c>
      <c r="AG40" s="111">
        <v>0.0</v>
      </c>
      <c r="AH40" s="111"/>
      <c r="AI40" s="111">
        <v>0.0</v>
      </c>
      <c r="AJ40" s="111">
        <v>0.0</v>
      </c>
      <c r="AK40" s="111">
        <v>0.0</v>
      </c>
      <c r="AL40" s="111">
        <v>0.0</v>
      </c>
      <c r="AM40" s="111">
        <v>0.0</v>
      </c>
      <c r="AN40" s="111">
        <v>0.0</v>
      </c>
      <c r="AO40" s="111">
        <v>0.0</v>
      </c>
      <c r="AP40" s="111">
        <v>0.0</v>
      </c>
      <c r="AQ40" s="111">
        <v>0.0</v>
      </c>
      <c r="AR40" s="111">
        <v>0.0</v>
      </c>
      <c r="AS40" s="111"/>
      <c r="AT40" s="142"/>
      <c r="AU40" s="142"/>
      <c r="AV40" s="111">
        <v>0.0</v>
      </c>
      <c r="AW40" s="111">
        <v>0.0</v>
      </c>
      <c r="AX40" s="111"/>
      <c r="AY40" s="111">
        <v>0.0</v>
      </c>
      <c r="AZ40" s="111">
        <v>0.0</v>
      </c>
      <c r="BA40" s="111">
        <v>0.0</v>
      </c>
      <c r="BB40" s="111">
        <v>0.0</v>
      </c>
      <c r="BC40" s="111">
        <v>0.0</v>
      </c>
      <c r="BD40" s="111">
        <v>0.0</v>
      </c>
      <c r="BE40" s="111">
        <v>0.0</v>
      </c>
      <c r="BF40" s="111"/>
      <c r="BG40" s="111"/>
      <c r="BH40" s="111"/>
      <c r="BI40" s="111"/>
      <c r="BJ40" s="142"/>
      <c r="BK40" s="111"/>
      <c r="BL40" s="111">
        <v>0.0</v>
      </c>
      <c r="BM40" s="111"/>
      <c r="BN40" s="111"/>
      <c r="BO40" s="111">
        <v>0.0</v>
      </c>
      <c r="BP40" s="111">
        <v>0.0</v>
      </c>
      <c r="BQ40" s="111">
        <v>0.0</v>
      </c>
      <c r="BR40" s="111">
        <v>0.0</v>
      </c>
      <c r="BS40" s="111">
        <v>0.0</v>
      </c>
      <c r="BT40" s="111">
        <v>0.0</v>
      </c>
      <c r="BU40" s="111">
        <v>0.0</v>
      </c>
      <c r="BV40" s="111"/>
      <c r="BW40" s="111"/>
      <c r="BX40" s="111"/>
      <c r="BY40" s="111"/>
      <c r="BZ40" s="142"/>
      <c r="CA40" s="111"/>
      <c r="CB40" s="111">
        <v>0.0</v>
      </c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11">
        <v>0.0</v>
      </c>
      <c r="CS40" s="111">
        <v>0.0</v>
      </c>
      <c r="CT40" s="111">
        <v>0.0</v>
      </c>
      <c r="CU40" s="111"/>
      <c r="CV40" s="111"/>
      <c r="CW40" s="111"/>
      <c r="CX40" s="111"/>
      <c r="CY40" s="111"/>
      <c r="CZ40" s="111">
        <v>0.0</v>
      </c>
      <c r="DA40" s="111">
        <v>0.0</v>
      </c>
      <c r="DB40" s="111">
        <v>0.0</v>
      </c>
      <c r="DC40" s="111">
        <v>0.0</v>
      </c>
      <c r="DD40" s="111">
        <v>0.0</v>
      </c>
      <c r="DE40" s="111">
        <v>0.0</v>
      </c>
      <c r="DF40" s="111" t="str">
        <f t="shared" si="2"/>
        <v>#DIV/0!</v>
      </c>
      <c r="DG40" s="111"/>
      <c r="DH40" s="111"/>
      <c r="DI40" s="111"/>
      <c r="DJ40" s="111"/>
      <c r="DK40" s="111"/>
      <c r="DL40" s="111"/>
      <c r="DM40" s="111">
        <v>0.0</v>
      </c>
      <c r="DN40" s="149">
        <f t="shared" si="5"/>
        <v>336.2</v>
      </c>
      <c r="DO40" s="149">
        <v>0.0</v>
      </c>
      <c r="DP40" s="111"/>
      <c r="DQ40" s="111"/>
      <c r="DR40" s="111"/>
      <c r="DS40" s="111"/>
      <c r="DT40" s="111"/>
      <c r="DU40" s="111"/>
      <c r="DV40" s="111"/>
      <c r="DW40" s="111">
        <v>645.0</v>
      </c>
      <c r="DX40" s="146">
        <v>0.0</v>
      </c>
      <c r="DY40" s="111">
        <v>45.0</v>
      </c>
      <c r="DZ40" s="111"/>
      <c r="EA40" s="111"/>
      <c r="EB40" s="111"/>
      <c r="EC40" s="111"/>
      <c r="ED40" s="111">
        <v>0.0</v>
      </c>
      <c r="EE40" s="111"/>
      <c r="EF40" s="111"/>
      <c r="EG40" s="111"/>
      <c r="EH40" s="111"/>
      <c r="EI40" s="111"/>
      <c r="EJ40" s="111"/>
      <c r="EK40" s="147"/>
      <c r="EL40" s="111"/>
    </row>
    <row r="41" ht="17.25" customHeight="1">
      <c r="A41" s="148">
        <v>45952.0</v>
      </c>
      <c r="B41" s="111">
        <v>0.0</v>
      </c>
      <c r="C41" s="111"/>
      <c r="D41" s="111"/>
      <c r="E41" s="111">
        <v>0.0</v>
      </c>
      <c r="F41" s="111">
        <v>0.0</v>
      </c>
      <c r="G41" s="111">
        <v>0.0</v>
      </c>
      <c r="H41" s="111"/>
      <c r="I41" s="111"/>
      <c r="J41" s="111"/>
      <c r="K41" s="111"/>
      <c r="L41" s="111"/>
      <c r="M41" s="111">
        <v>0.0</v>
      </c>
      <c r="N41" s="111">
        <v>0.0</v>
      </c>
      <c r="O41" s="111">
        <v>0.0</v>
      </c>
      <c r="P41" s="111"/>
      <c r="Q41" s="111">
        <v>0.0</v>
      </c>
      <c r="R41" s="111">
        <v>0.0</v>
      </c>
      <c r="S41" s="111"/>
      <c r="T41" s="111">
        <v>0.0</v>
      </c>
      <c r="U41" s="111">
        <v>0.0</v>
      </c>
      <c r="V41" s="111"/>
      <c r="W41" s="111">
        <v>0.0</v>
      </c>
      <c r="X41" s="111">
        <v>0.0</v>
      </c>
      <c r="Y41" s="111"/>
      <c r="Z41" s="111">
        <v>0.0</v>
      </c>
      <c r="AA41" s="111">
        <v>0.0</v>
      </c>
      <c r="AB41" s="111"/>
      <c r="AC41" s="111">
        <v>0.0</v>
      </c>
      <c r="AD41" s="111">
        <v>0.0</v>
      </c>
      <c r="AE41" s="111"/>
      <c r="AF41" s="111">
        <v>0.0</v>
      </c>
      <c r="AG41" s="111">
        <v>0.0</v>
      </c>
      <c r="AH41" s="111"/>
      <c r="AI41" s="111">
        <v>0.0</v>
      </c>
      <c r="AJ41" s="111">
        <v>0.0</v>
      </c>
      <c r="AK41" s="111">
        <v>0.0</v>
      </c>
      <c r="AL41" s="111">
        <v>0.0</v>
      </c>
      <c r="AM41" s="111">
        <v>0.0</v>
      </c>
      <c r="AN41" s="111">
        <v>0.0</v>
      </c>
      <c r="AO41" s="111">
        <v>0.0</v>
      </c>
      <c r="AP41" s="111">
        <v>0.0</v>
      </c>
      <c r="AQ41" s="111">
        <v>0.0</v>
      </c>
      <c r="AR41" s="111">
        <v>0.0</v>
      </c>
      <c r="AS41" s="111"/>
      <c r="AT41" s="142"/>
      <c r="AU41" s="142"/>
      <c r="AV41" s="111">
        <v>0.0</v>
      </c>
      <c r="AW41" s="111">
        <v>0.0</v>
      </c>
      <c r="AX41" s="111"/>
      <c r="AY41" s="111">
        <v>0.0</v>
      </c>
      <c r="AZ41" s="111">
        <v>0.0</v>
      </c>
      <c r="BA41" s="111">
        <v>0.0</v>
      </c>
      <c r="BB41" s="111">
        <v>0.0</v>
      </c>
      <c r="BC41" s="111">
        <v>0.0</v>
      </c>
      <c r="BD41" s="111">
        <v>0.0</v>
      </c>
      <c r="BE41" s="111">
        <v>0.0</v>
      </c>
      <c r="BF41" s="111"/>
      <c r="BG41" s="111"/>
      <c r="BH41" s="111"/>
      <c r="BI41" s="111"/>
      <c r="BJ41" s="142"/>
      <c r="BK41" s="111"/>
      <c r="BL41" s="111">
        <v>0.0</v>
      </c>
      <c r="BM41" s="111"/>
      <c r="BN41" s="111"/>
      <c r="BO41" s="111">
        <v>0.0</v>
      </c>
      <c r="BP41" s="111">
        <v>0.0</v>
      </c>
      <c r="BQ41" s="111">
        <v>0.0</v>
      </c>
      <c r="BR41" s="111">
        <v>0.0</v>
      </c>
      <c r="BS41" s="111">
        <v>0.0</v>
      </c>
      <c r="BT41" s="111">
        <v>0.0</v>
      </c>
      <c r="BU41" s="111">
        <v>0.0</v>
      </c>
      <c r="BV41" s="111"/>
      <c r="BW41" s="111"/>
      <c r="BX41" s="111"/>
      <c r="BY41" s="111"/>
      <c r="BZ41" s="142"/>
      <c r="CA41" s="111"/>
      <c r="CB41" s="111">
        <v>0.0</v>
      </c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>
        <v>0.0</v>
      </c>
      <c r="CS41" s="111">
        <v>0.0</v>
      </c>
      <c r="CT41" s="111">
        <v>0.0</v>
      </c>
      <c r="CU41" s="111"/>
      <c r="CV41" s="111"/>
      <c r="CW41" s="111"/>
      <c r="CX41" s="111"/>
      <c r="CY41" s="111"/>
      <c r="CZ41" s="111">
        <v>0.0</v>
      </c>
      <c r="DA41" s="111">
        <v>0.0</v>
      </c>
      <c r="DB41" s="111">
        <v>0.0</v>
      </c>
      <c r="DC41" s="111">
        <v>0.0</v>
      </c>
      <c r="DD41" s="111">
        <v>0.0</v>
      </c>
      <c r="DE41" s="111">
        <v>0.0</v>
      </c>
      <c r="DF41" s="111" t="str">
        <f t="shared" si="2"/>
        <v>#DIV/0!</v>
      </c>
      <c r="DG41" s="111"/>
      <c r="DH41" s="111"/>
      <c r="DI41" s="111"/>
      <c r="DJ41" s="111"/>
      <c r="DK41" s="111"/>
      <c r="DL41" s="111"/>
      <c r="DM41" s="111">
        <v>0.0</v>
      </c>
      <c r="DN41" s="149">
        <f t="shared" si="5"/>
        <v>336.2</v>
      </c>
      <c r="DO41" s="149">
        <v>0.0</v>
      </c>
      <c r="DP41" s="111"/>
      <c r="DQ41" s="111"/>
      <c r="DR41" s="111"/>
      <c r="DS41" s="111"/>
      <c r="DT41" s="111"/>
      <c r="DU41" s="111"/>
      <c r="DV41" s="111"/>
      <c r="DW41" s="111">
        <v>735.0</v>
      </c>
      <c r="DX41" s="146">
        <v>0.0</v>
      </c>
      <c r="DY41" s="111">
        <v>45.0</v>
      </c>
      <c r="DZ41" s="111"/>
      <c r="EA41" s="111"/>
      <c r="EB41" s="111"/>
      <c r="EC41" s="111"/>
      <c r="ED41" s="111">
        <v>0.0</v>
      </c>
      <c r="EE41" s="111"/>
      <c r="EF41" s="111"/>
      <c r="EG41" s="111"/>
      <c r="EH41" s="111"/>
      <c r="EI41" s="111"/>
      <c r="EJ41" s="111"/>
      <c r="EK41" s="147"/>
      <c r="EL41" s="111"/>
    </row>
    <row r="42" ht="17.25" customHeight="1">
      <c r="A42" s="148">
        <v>45953.0</v>
      </c>
      <c r="B42" s="111">
        <v>0.0</v>
      </c>
      <c r="C42" s="111"/>
      <c r="D42" s="111"/>
      <c r="E42" s="111">
        <v>0.0</v>
      </c>
      <c r="F42" s="111">
        <v>0.0</v>
      </c>
      <c r="G42" s="111">
        <v>0.0</v>
      </c>
      <c r="H42" s="111"/>
      <c r="I42" s="111"/>
      <c r="J42" s="111"/>
      <c r="K42" s="111"/>
      <c r="L42" s="111"/>
      <c r="M42" s="111">
        <v>0.0</v>
      </c>
      <c r="N42" s="111">
        <v>0.0</v>
      </c>
      <c r="O42" s="111">
        <v>0.0</v>
      </c>
      <c r="P42" s="111"/>
      <c r="Q42" s="111">
        <v>0.0</v>
      </c>
      <c r="R42" s="111">
        <v>0.0</v>
      </c>
      <c r="S42" s="111"/>
      <c r="T42" s="111">
        <v>0.0</v>
      </c>
      <c r="U42" s="111">
        <v>0.0</v>
      </c>
      <c r="V42" s="111"/>
      <c r="W42" s="111">
        <v>0.0</v>
      </c>
      <c r="X42" s="111">
        <v>0.0</v>
      </c>
      <c r="Y42" s="111"/>
      <c r="Z42" s="111">
        <v>0.0</v>
      </c>
      <c r="AA42" s="111">
        <v>0.0</v>
      </c>
      <c r="AB42" s="111"/>
      <c r="AC42" s="111">
        <v>0.0</v>
      </c>
      <c r="AD42" s="111">
        <v>0.0</v>
      </c>
      <c r="AE42" s="111"/>
      <c r="AF42" s="111">
        <v>0.0</v>
      </c>
      <c r="AG42" s="111">
        <v>0.0</v>
      </c>
      <c r="AH42" s="111"/>
      <c r="AI42" s="111">
        <v>0.0</v>
      </c>
      <c r="AJ42" s="111">
        <v>0.0</v>
      </c>
      <c r="AK42" s="111">
        <v>0.0</v>
      </c>
      <c r="AL42" s="111">
        <v>0.0</v>
      </c>
      <c r="AM42" s="111">
        <v>0.0</v>
      </c>
      <c r="AN42" s="111">
        <v>0.0</v>
      </c>
      <c r="AO42" s="111">
        <v>0.0</v>
      </c>
      <c r="AP42" s="111">
        <v>0.0</v>
      </c>
      <c r="AQ42" s="111">
        <v>0.0</v>
      </c>
      <c r="AR42" s="111">
        <v>0.0</v>
      </c>
      <c r="AS42" s="111"/>
      <c r="AT42" s="142"/>
      <c r="AU42" s="142"/>
      <c r="AV42" s="111">
        <v>0.0</v>
      </c>
      <c r="AW42" s="111">
        <v>0.0</v>
      </c>
      <c r="AX42" s="111"/>
      <c r="AY42" s="111">
        <v>0.0</v>
      </c>
      <c r="AZ42" s="111">
        <v>0.0</v>
      </c>
      <c r="BA42" s="111">
        <v>0.0</v>
      </c>
      <c r="BB42" s="111">
        <v>0.0</v>
      </c>
      <c r="BC42" s="111">
        <v>0.0</v>
      </c>
      <c r="BD42" s="111">
        <v>0.0</v>
      </c>
      <c r="BE42" s="111">
        <v>0.0</v>
      </c>
      <c r="BF42" s="111"/>
      <c r="BG42" s="111"/>
      <c r="BH42" s="111"/>
      <c r="BI42" s="111"/>
      <c r="BJ42" s="142"/>
      <c r="BK42" s="111"/>
      <c r="BL42" s="111">
        <v>0.0</v>
      </c>
      <c r="BM42" s="111"/>
      <c r="BN42" s="111"/>
      <c r="BO42" s="111">
        <v>0.0</v>
      </c>
      <c r="BP42" s="111">
        <v>0.0</v>
      </c>
      <c r="BQ42" s="111">
        <v>0.0</v>
      </c>
      <c r="BR42" s="111">
        <v>0.0</v>
      </c>
      <c r="BS42" s="111">
        <v>0.0</v>
      </c>
      <c r="BT42" s="111">
        <v>0.0</v>
      </c>
      <c r="BU42" s="111">
        <v>0.0</v>
      </c>
      <c r="BV42" s="111"/>
      <c r="BW42" s="111"/>
      <c r="BX42" s="111"/>
      <c r="BY42" s="111"/>
      <c r="BZ42" s="142"/>
      <c r="CA42" s="111"/>
      <c r="CB42" s="111">
        <v>0.0</v>
      </c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>
        <v>0.0</v>
      </c>
      <c r="CS42" s="111">
        <v>0.0</v>
      </c>
      <c r="CT42" s="111">
        <v>0.0</v>
      </c>
      <c r="CU42" s="111"/>
      <c r="CV42" s="111"/>
      <c r="CW42" s="111"/>
      <c r="CX42" s="111"/>
      <c r="CY42" s="111"/>
      <c r="CZ42" s="111">
        <v>0.0</v>
      </c>
      <c r="DA42" s="111">
        <v>0.0</v>
      </c>
      <c r="DB42" s="111">
        <v>0.0</v>
      </c>
      <c r="DC42" s="111">
        <v>0.0</v>
      </c>
      <c r="DD42" s="111">
        <v>0.0</v>
      </c>
      <c r="DE42" s="111">
        <v>0.0</v>
      </c>
      <c r="DF42" s="111" t="str">
        <f t="shared" si="2"/>
        <v>#DIV/0!</v>
      </c>
      <c r="DG42" s="111"/>
      <c r="DH42" s="111"/>
      <c r="DI42" s="111"/>
      <c r="DJ42" s="111"/>
      <c r="DK42" s="111"/>
      <c r="DL42" s="111"/>
      <c r="DM42" s="111">
        <v>0.0</v>
      </c>
      <c r="DN42" s="149">
        <f t="shared" si="5"/>
        <v>336.2</v>
      </c>
      <c r="DO42" s="149">
        <v>0.0</v>
      </c>
      <c r="DP42" s="111"/>
      <c r="DQ42" s="111"/>
      <c r="DR42" s="111"/>
      <c r="DS42" s="111"/>
      <c r="DT42" s="111"/>
      <c r="DU42" s="111"/>
      <c r="DV42" s="111"/>
      <c r="DW42" s="111">
        <v>1035.0</v>
      </c>
      <c r="DX42" s="146">
        <v>0.0</v>
      </c>
      <c r="DY42" s="111">
        <v>45.0</v>
      </c>
      <c r="DZ42" s="111"/>
      <c r="EA42" s="111"/>
      <c r="EB42" s="111"/>
      <c r="EC42" s="111"/>
      <c r="ED42" s="111">
        <v>0.0</v>
      </c>
      <c r="EE42" s="111"/>
      <c r="EF42" s="111"/>
      <c r="EG42" s="111"/>
      <c r="EH42" s="111"/>
      <c r="EI42" s="111"/>
      <c r="EJ42" s="111"/>
      <c r="EK42" s="147"/>
      <c r="EL42" s="111"/>
    </row>
    <row r="43" ht="17.25" customHeight="1">
      <c r="A43" s="148">
        <v>45954.0</v>
      </c>
      <c r="B43" s="111">
        <v>0.0</v>
      </c>
      <c r="C43" s="111"/>
      <c r="D43" s="111"/>
      <c r="E43" s="111">
        <v>0.0</v>
      </c>
      <c r="F43" s="111">
        <v>0.0</v>
      </c>
      <c r="G43" s="111">
        <v>0.0</v>
      </c>
      <c r="H43" s="111"/>
      <c r="I43" s="111"/>
      <c r="J43" s="111"/>
      <c r="K43" s="111"/>
      <c r="L43" s="111"/>
      <c r="M43" s="111">
        <v>0.0</v>
      </c>
      <c r="N43" s="111">
        <v>0.0</v>
      </c>
      <c r="O43" s="111">
        <v>0.0</v>
      </c>
      <c r="P43" s="111"/>
      <c r="Q43" s="111">
        <v>0.0</v>
      </c>
      <c r="R43" s="111">
        <v>0.0</v>
      </c>
      <c r="S43" s="111"/>
      <c r="T43" s="111">
        <v>10.0</v>
      </c>
      <c r="U43" s="111">
        <v>53.3</v>
      </c>
      <c r="V43" s="111"/>
      <c r="W43" s="111">
        <v>0.0</v>
      </c>
      <c r="X43" s="111">
        <v>0.0</v>
      </c>
      <c r="Y43" s="111"/>
      <c r="Z43" s="111">
        <v>0.0</v>
      </c>
      <c r="AA43" s="111">
        <v>0.0</v>
      </c>
      <c r="AB43" s="111"/>
      <c r="AC43" s="111">
        <v>0.0</v>
      </c>
      <c r="AD43" s="111">
        <v>0.0</v>
      </c>
      <c r="AE43" s="111"/>
      <c r="AF43" s="111">
        <v>10.47</v>
      </c>
      <c r="AG43" s="111">
        <v>53.0</v>
      </c>
      <c r="AH43" s="111"/>
      <c r="AI43" s="111">
        <v>0.0</v>
      </c>
      <c r="AJ43" s="111">
        <v>0.0</v>
      </c>
      <c r="AK43" s="111">
        <v>0.0</v>
      </c>
      <c r="AL43" s="111">
        <v>5.55</v>
      </c>
      <c r="AM43" s="111">
        <v>0.0</v>
      </c>
      <c r="AN43" s="111">
        <v>7.04</v>
      </c>
      <c r="AO43" s="111">
        <v>31.0</v>
      </c>
      <c r="AP43" s="111">
        <v>0.0</v>
      </c>
      <c r="AQ43" s="111">
        <v>0.0</v>
      </c>
      <c r="AR43" s="111">
        <v>0.0</v>
      </c>
      <c r="AS43" s="111"/>
      <c r="AT43" s="142"/>
      <c r="AU43" s="142"/>
      <c r="AV43" s="111">
        <v>0.0</v>
      </c>
      <c r="AW43" s="111">
        <v>0.0</v>
      </c>
      <c r="AX43" s="111"/>
      <c r="AY43" s="111">
        <v>0.0</v>
      </c>
      <c r="AZ43" s="111">
        <v>0.0</v>
      </c>
      <c r="BA43" s="111">
        <v>0.0</v>
      </c>
      <c r="BB43" s="111">
        <v>0.0</v>
      </c>
      <c r="BC43" s="111">
        <v>0.0</v>
      </c>
      <c r="BD43" s="111">
        <v>0.0</v>
      </c>
      <c r="BE43" s="111">
        <v>0.0</v>
      </c>
      <c r="BF43" s="111"/>
      <c r="BG43" s="111"/>
      <c r="BH43" s="111"/>
      <c r="BI43" s="111"/>
      <c r="BJ43" s="142"/>
      <c r="BK43" s="111"/>
      <c r="BL43" s="111">
        <v>0.0</v>
      </c>
      <c r="BM43" s="111"/>
      <c r="BN43" s="111"/>
      <c r="BO43" s="111">
        <v>0.0</v>
      </c>
      <c r="BP43" s="111">
        <v>0.0</v>
      </c>
      <c r="BQ43" s="111">
        <v>0.0</v>
      </c>
      <c r="BR43" s="111">
        <v>0.0</v>
      </c>
      <c r="BS43" s="111">
        <v>0.0</v>
      </c>
      <c r="BT43" s="111">
        <v>0.0</v>
      </c>
      <c r="BU43" s="111">
        <v>0.0</v>
      </c>
      <c r="BV43" s="111"/>
      <c r="BW43" s="111"/>
      <c r="BX43" s="111"/>
      <c r="BY43" s="111"/>
      <c r="BZ43" s="142"/>
      <c r="CA43" s="111"/>
      <c r="CB43" s="111">
        <v>0.0</v>
      </c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>
        <v>0.0</v>
      </c>
      <c r="CS43" s="111">
        <v>0.0</v>
      </c>
      <c r="CT43" s="111">
        <v>0.0</v>
      </c>
      <c r="CU43" s="111"/>
      <c r="CV43" s="111"/>
      <c r="CW43" s="111"/>
      <c r="CX43" s="111"/>
      <c r="CY43" s="111"/>
      <c r="CZ43" s="111">
        <v>0.0</v>
      </c>
      <c r="DA43" s="111">
        <v>0.0</v>
      </c>
      <c r="DB43" s="111">
        <v>0.0</v>
      </c>
      <c r="DC43" s="111">
        <v>0.0</v>
      </c>
      <c r="DD43" s="111">
        <v>0.0</v>
      </c>
      <c r="DE43" s="111">
        <v>0.0</v>
      </c>
      <c r="DF43" s="111" t="str">
        <f t="shared" si="2"/>
        <v>#DIV/0!</v>
      </c>
      <c r="DG43" s="111"/>
      <c r="DH43" s="111"/>
      <c r="DI43" s="111"/>
      <c r="DJ43" s="111"/>
      <c r="DK43" s="111"/>
      <c r="DL43" s="111"/>
      <c r="DM43" s="111">
        <v>0.0</v>
      </c>
      <c r="DN43" s="149">
        <f t="shared" si="5"/>
        <v>336.2</v>
      </c>
      <c r="DO43" s="149">
        <v>0.0</v>
      </c>
      <c r="DP43" s="111"/>
      <c r="DQ43" s="111"/>
      <c r="DR43" s="111"/>
      <c r="DS43" s="111"/>
      <c r="DT43" s="111"/>
      <c r="DU43" s="111"/>
      <c r="DV43" s="111"/>
      <c r="DW43" s="111">
        <v>1065.0</v>
      </c>
      <c r="DX43" s="146">
        <v>0.0</v>
      </c>
      <c r="DY43" s="111">
        <v>45.0</v>
      </c>
      <c r="DZ43" s="111"/>
      <c r="EA43" s="111"/>
      <c r="EB43" s="111"/>
      <c r="EC43" s="111"/>
      <c r="ED43" s="111">
        <v>0.0</v>
      </c>
      <c r="EE43" s="111"/>
      <c r="EF43" s="111"/>
      <c r="EG43" s="111"/>
      <c r="EH43" s="111"/>
      <c r="EI43" s="111"/>
      <c r="EJ43" s="111"/>
      <c r="EK43" s="147"/>
      <c r="EL43" s="111"/>
    </row>
    <row r="44" ht="17.25" customHeight="1">
      <c r="A44" s="148">
        <v>45955.0</v>
      </c>
      <c r="B44" s="111">
        <v>0.0</v>
      </c>
      <c r="C44" s="111"/>
      <c r="D44" s="111"/>
      <c r="E44" s="111">
        <v>0.0</v>
      </c>
      <c r="F44" s="111">
        <v>0.0</v>
      </c>
      <c r="G44" s="111">
        <v>0.0</v>
      </c>
      <c r="H44" s="111"/>
      <c r="I44" s="111"/>
      <c r="J44" s="111"/>
      <c r="K44" s="111"/>
      <c r="L44" s="111"/>
      <c r="M44" s="111">
        <v>0.0</v>
      </c>
      <c r="N44" s="111">
        <v>0.0</v>
      </c>
      <c r="O44" s="111">
        <v>0.0</v>
      </c>
      <c r="P44" s="111"/>
      <c r="Q44" s="111">
        <v>0.0</v>
      </c>
      <c r="R44" s="111">
        <v>0.0</v>
      </c>
      <c r="S44" s="111"/>
      <c r="T44" s="111">
        <v>0.0</v>
      </c>
      <c r="U44" s="111">
        <v>0.0</v>
      </c>
      <c r="V44" s="111"/>
      <c r="W44" s="111">
        <v>0.0</v>
      </c>
      <c r="X44" s="111">
        <v>0.0</v>
      </c>
      <c r="Y44" s="111"/>
      <c r="Z44" s="111">
        <v>0.0</v>
      </c>
      <c r="AA44" s="111">
        <v>0.0</v>
      </c>
      <c r="AB44" s="111"/>
      <c r="AC44" s="111">
        <v>0.0</v>
      </c>
      <c r="AD44" s="111">
        <v>0.0</v>
      </c>
      <c r="AE44" s="111"/>
      <c r="AF44" s="111">
        <v>0.0</v>
      </c>
      <c r="AG44" s="111">
        <v>0.0</v>
      </c>
      <c r="AH44" s="111"/>
      <c r="AI44" s="111">
        <v>0.0</v>
      </c>
      <c r="AJ44" s="111">
        <v>0.0</v>
      </c>
      <c r="AK44" s="111">
        <v>0.0</v>
      </c>
      <c r="AL44" s="111"/>
      <c r="AM44" s="111">
        <v>0.0</v>
      </c>
      <c r="AN44" s="111"/>
      <c r="AO44" s="111"/>
      <c r="AP44" s="111">
        <v>0.0</v>
      </c>
      <c r="AQ44" s="111">
        <v>0.0</v>
      </c>
      <c r="AR44" s="111">
        <v>0.0</v>
      </c>
      <c r="AS44" s="111"/>
      <c r="AT44" s="142"/>
      <c r="AU44" s="142"/>
      <c r="AV44" s="111"/>
      <c r="AW44" s="111"/>
      <c r="AX44" s="111"/>
      <c r="AY44" s="111">
        <v>0.0</v>
      </c>
      <c r="AZ44" s="111">
        <v>0.0</v>
      </c>
      <c r="BA44" s="111">
        <v>0.0</v>
      </c>
      <c r="BB44" s="111">
        <v>0.0</v>
      </c>
      <c r="BC44" s="111">
        <v>0.0</v>
      </c>
      <c r="BD44" s="111">
        <v>0.0</v>
      </c>
      <c r="BE44" s="111">
        <v>0.0</v>
      </c>
      <c r="BF44" s="111"/>
      <c r="BG44" s="111"/>
      <c r="BH44" s="111"/>
      <c r="BI44" s="111"/>
      <c r="BJ44" s="142"/>
      <c r="BK44" s="111"/>
      <c r="BL44" s="111">
        <v>0.0</v>
      </c>
      <c r="BM44" s="111"/>
      <c r="BN44" s="111"/>
      <c r="BO44" s="111">
        <v>0.0</v>
      </c>
      <c r="BP44" s="111">
        <v>0.0</v>
      </c>
      <c r="BQ44" s="111">
        <v>0.0</v>
      </c>
      <c r="BR44" s="111">
        <v>0.0</v>
      </c>
      <c r="BS44" s="111">
        <v>0.0</v>
      </c>
      <c r="BT44" s="111">
        <v>0.0</v>
      </c>
      <c r="BU44" s="111">
        <v>0.0</v>
      </c>
      <c r="BV44" s="111"/>
      <c r="BW44" s="111"/>
      <c r="BX44" s="111"/>
      <c r="BY44" s="111"/>
      <c r="BZ44" s="142"/>
      <c r="CA44" s="111"/>
      <c r="CB44" s="111">
        <v>0.0</v>
      </c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>
        <v>0.0</v>
      </c>
      <c r="CS44" s="111">
        <v>0.0</v>
      </c>
      <c r="CT44" s="111">
        <v>0.0</v>
      </c>
      <c r="CU44" s="111"/>
      <c r="CV44" s="111"/>
      <c r="CW44" s="111"/>
      <c r="CX44" s="111"/>
      <c r="CY44" s="111"/>
      <c r="CZ44" s="111">
        <v>0.0</v>
      </c>
      <c r="DA44" s="111">
        <v>0.0</v>
      </c>
      <c r="DB44" s="111">
        <v>0.0</v>
      </c>
      <c r="DC44" s="111">
        <v>0.0</v>
      </c>
      <c r="DD44" s="111">
        <v>0.0</v>
      </c>
      <c r="DE44" s="111">
        <v>0.0</v>
      </c>
      <c r="DF44" s="111" t="str">
        <f t="shared" si="2"/>
        <v>#DIV/0!</v>
      </c>
      <c r="DG44" s="111"/>
      <c r="DH44" s="111"/>
      <c r="DI44" s="111"/>
      <c r="DJ44" s="111"/>
      <c r="DK44" s="111"/>
      <c r="DL44" s="111"/>
      <c r="DM44" s="111">
        <v>0.0</v>
      </c>
      <c r="DN44" s="149">
        <f t="shared" si="5"/>
        <v>336.2</v>
      </c>
      <c r="DO44" s="149">
        <v>0.0</v>
      </c>
      <c r="DP44" s="111"/>
      <c r="DQ44" s="111"/>
      <c r="DR44" s="111"/>
      <c r="DS44" s="111"/>
      <c r="DT44" s="111"/>
      <c r="DU44" s="111"/>
      <c r="DV44" s="111"/>
      <c r="DW44" s="111">
        <v>1080.0</v>
      </c>
      <c r="DX44" s="146">
        <v>0.0</v>
      </c>
      <c r="DY44" s="111">
        <v>45.0</v>
      </c>
      <c r="DZ44" s="111"/>
      <c r="EA44" s="111"/>
      <c r="EB44" s="111"/>
      <c r="EC44" s="111"/>
      <c r="ED44" s="111">
        <v>0.0</v>
      </c>
      <c r="EE44" s="111"/>
      <c r="EF44" s="111"/>
      <c r="EG44" s="111"/>
      <c r="EH44" s="111"/>
      <c r="EI44" s="111"/>
      <c r="EJ44" s="111"/>
      <c r="EK44" s="147"/>
      <c r="EL44" s="111"/>
    </row>
    <row r="45" ht="17.25" customHeight="1">
      <c r="A45" s="148">
        <v>45956.0</v>
      </c>
      <c r="B45" s="111">
        <v>0.0</v>
      </c>
      <c r="C45" s="111"/>
      <c r="D45" s="111"/>
      <c r="E45" s="111">
        <v>0.0</v>
      </c>
      <c r="F45" s="111">
        <v>0.0</v>
      </c>
      <c r="G45" s="111">
        <v>0.0</v>
      </c>
      <c r="H45" s="111"/>
      <c r="I45" s="111"/>
      <c r="J45" s="111"/>
      <c r="K45" s="111"/>
      <c r="L45" s="111"/>
      <c r="M45" s="111">
        <v>0.0</v>
      </c>
      <c r="N45" s="111">
        <v>0.0</v>
      </c>
      <c r="O45" s="111">
        <v>0.0</v>
      </c>
      <c r="P45" s="111"/>
      <c r="Q45" s="111">
        <v>0.0</v>
      </c>
      <c r="R45" s="111">
        <v>0.0</v>
      </c>
      <c r="S45" s="111"/>
      <c r="T45" s="111">
        <v>0.0</v>
      </c>
      <c r="U45" s="111">
        <v>0.0</v>
      </c>
      <c r="V45" s="111"/>
      <c r="W45" s="111">
        <v>0.0</v>
      </c>
      <c r="X45" s="111">
        <v>0.0</v>
      </c>
      <c r="Y45" s="111"/>
      <c r="Z45" s="111">
        <v>0.0</v>
      </c>
      <c r="AA45" s="111">
        <v>0.0</v>
      </c>
      <c r="AB45" s="111"/>
      <c r="AC45" s="111">
        <v>0.0</v>
      </c>
      <c r="AD45" s="111">
        <v>0.0</v>
      </c>
      <c r="AE45" s="111"/>
      <c r="AF45" s="111">
        <v>0.0</v>
      </c>
      <c r="AG45" s="111">
        <v>0.0</v>
      </c>
      <c r="AH45" s="111"/>
      <c r="AI45" s="111">
        <v>0.0</v>
      </c>
      <c r="AJ45" s="111">
        <v>0.0</v>
      </c>
      <c r="AK45" s="111">
        <v>0.0</v>
      </c>
      <c r="AL45" s="111"/>
      <c r="AM45" s="111">
        <v>0.0</v>
      </c>
      <c r="AN45" s="111"/>
      <c r="AO45" s="111"/>
      <c r="AP45" s="111">
        <v>0.0</v>
      </c>
      <c r="AQ45" s="111">
        <v>0.0</v>
      </c>
      <c r="AR45" s="111">
        <v>0.0</v>
      </c>
      <c r="AS45" s="111"/>
      <c r="AT45" s="142"/>
      <c r="AU45" s="142"/>
      <c r="AV45" s="111"/>
      <c r="AW45" s="111"/>
      <c r="AX45" s="111"/>
      <c r="AY45" s="111">
        <v>0.0</v>
      </c>
      <c r="AZ45" s="111">
        <v>0.0</v>
      </c>
      <c r="BA45" s="111">
        <v>0.0</v>
      </c>
      <c r="BB45" s="111">
        <v>0.0</v>
      </c>
      <c r="BC45" s="111">
        <v>0.0</v>
      </c>
      <c r="BD45" s="111">
        <v>0.0</v>
      </c>
      <c r="BE45" s="111">
        <v>0.0</v>
      </c>
      <c r="BF45" s="111"/>
      <c r="BG45" s="111"/>
      <c r="BH45" s="111"/>
      <c r="BI45" s="111"/>
      <c r="BJ45" s="142"/>
      <c r="BK45" s="111"/>
      <c r="BL45" s="111">
        <v>0.0</v>
      </c>
      <c r="BM45" s="111"/>
      <c r="BN45" s="111"/>
      <c r="BO45" s="111">
        <v>0.0</v>
      </c>
      <c r="BP45" s="111">
        <v>0.0</v>
      </c>
      <c r="BQ45" s="111">
        <v>0.0</v>
      </c>
      <c r="BR45" s="111">
        <v>0.0</v>
      </c>
      <c r="BS45" s="111">
        <v>0.0</v>
      </c>
      <c r="BT45" s="111">
        <v>0.0</v>
      </c>
      <c r="BU45" s="111">
        <v>0.0</v>
      </c>
      <c r="BV45" s="111"/>
      <c r="BW45" s="111"/>
      <c r="BX45" s="111"/>
      <c r="BY45" s="111"/>
      <c r="BZ45" s="142"/>
      <c r="CA45" s="111"/>
      <c r="CB45" s="111">
        <v>0.0</v>
      </c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>
        <v>0.0</v>
      </c>
      <c r="CS45" s="111">
        <v>0.0</v>
      </c>
      <c r="CT45" s="111">
        <v>0.0</v>
      </c>
      <c r="CU45" s="111"/>
      <c r="CV45" s="111"/>
      <c r="CW45" s="111"/>
      <c r="CX45" s="111"/>
      <c r="CY45" s="111"/>
      <c r="CZ45" s="111">
        <v>0.0</v>
      </c>
      <c r="DA45" s="111">
        <v>0.0</v>
      </c>
      <c r="DB45" s="111">
        <v>0.0</v>
      </c>
      <c r="DC45" s="111">
        <v>0.0</v>
      </c>
      <c r="DD45" s="111">
        <v>0.0</v>
      </c>
      <c r="DE45" s="111">
        <v>0.0</v>
      </c>
      <c r="DF45" s="111" t="str">
        <f t="shared" si="2"/>
        <v>#DIV/0!</v>
      </c>
      <c r="DG45" s="111"/>
      <c r="DH45" s="111"/>
      <c r="DI45" s="111"/>
      <c r="DJ45" s="111"/>
      <c r="DK45" s="111"/>
      <c r="DL45" s="111"/>
      <c r="DM45" s="111">
        <v>0.0</v>
      </c>
      <c r="DN45" s="149">
        <f t="shared" si="5"/>
        <v>336.2</v>
      </c>
      <c r="DO45" s="149">
        <v>0.0</v>
      </c>
      <c r="DP45" s="111"/>
      <c r="DQ45" s="111"/>
      <c r="DR45" s="111"/>
      <c r="DS45" s="111"/>
      <c r="DT45" s="111"/>
      <c r="DU45" s="111"/>
      <c r="DV45" s="111"/>
      <c r="DW45" s="111">
        <v>675.0</v>
      </c>
      <c r="DX45" s="146">
        <v>0.0</v>
      </c>
      <c r="DY45" s="111">
        <v>45.0</v>
      </c>
      <c r="DZ45" s="111"/>
      <c r="EA45" s="111"/>
      <c r="EB45" s="111"/>
      <c r="EC45" s="111"/>
      <c r="ED45" s="111">
        <v>0.0</v>
      </c>
      <c r="EE45" s="111"/>
      <c r="EF45" s="111"/>
      <c r="EG45" s="111"/>
      <c r="EH45" s="111"/>
      <c r="EI45" s="111"/>
      <c r="EJ45" s="111"/>
      <c r="EK45" s="147"/>
      <c r="EL45" s="111"/>
    </row>
    <row r="46" ht="17.25" customHeight="1">
      <c r="A46" s="148">
        <v>45957.0</v>
      </c>
      <c r="B46" s="111">
        <v>0.0</v>
      </c>
      <c r="C46" s="111"/>
      <c r="D46" s="111"/>
      <c r="E46" s="111">
        <v>0.0</v>
      </c>
      <c r="F46" s="111">
        <v>0.0</v>
      </c>
      <c r="G46" s="111">
        <v>0.0</v>
      </c>
      <c r="H46" s="111"/>
      <c r="I46" s="111"/>
      <c r="J46" s="111"/>
      <c r="K46" s="111"/>
      <c r="L46" s="111"/>
      <c r="M46" s="111">
        <v>0.0</v>
      </c>
      <c r="N46" s="111">
        <v>0.0</v>
      </c>
      <c r="O46" s="111">
        <v>0.0</v>
      </c>
      <c r="P46" s="111"/>
      <c r="Q46" s="111">
        <v>0.0</v>
      </c>
      <c r="R46" s="111">
        <v>0.0</v>
      </c>
      <c r="S46" s="111"/>
      <c r="T46" s="111">
        <v>0.0</v>
      </c>
      <c r="U46" s="111">
        <v>0.0</v>
      </c>
      <c r="V46" s="111"/>
      <c r="W46" s="111">
        <v>0.0</v>
      </c>
      <c r="X46" s="111">
        <v>0.0</v>
      </c>
      <c r="Y46" s="111"/>
      <c r="Z46" s="111">
        <v>0.0</v>
      </c>
      <c r="AA46" s="111">
        <v>0.0</v>
      </c>
      <c r="AB46" s="111"/>
      <c r="AC46" s="111">
        <v>0.0</v>
      </c>
      <c r="AD46" s="111">
        <v>0.0</v>
      </c>
      <c r="AE46" s="111"/>
      <c r="AF46" s="111">
        <v>0.0</v>
      </c>
      <c r="AG46" s="111">
        <v>0.0</v>
      </c>
      <c r="AH46" s="111"/>
      <c r="AI46" s="111">
        <v>0.0</v>
      </c>
      <c r="AJ46" s="111">
        <v>0.0</v>
      </c>
      <c r="AK46" s="111">
        <v>0.0</v>
      </c>
      <c r="AL46" s="111"/>
      <c r="AM46" s="111">
        <v>0.0</v>
      </c>
      <c r="AN46" s="111"/>
      <c r="AO46" s="111"/>
      <c r="AP46" s="111">
        <v>0.0</v>
      </c>
      <c r="AQ46" s="111">
        <v>0.0</v>
      </c>
      <c r="AR46" s="111">
        <v>0.0</v>
      </c>
      <c r="AS46" s="111"/>
      <c r="AT46" s="142"/>
      <c r="AU46" s="142"/>
      <c r="AV46" s="111"/>
      <c r="AW46" s="111"/>
      <c r="AX46" s="111"/>
      <c r="AY46" s="111">
        <v>0.0</v>
      </c>
      <c r="AZ46" s="111">
        <v>0.0</v>
      </c>
      <c r="BA46" s="111">
        <v>0.0</v>
      </c>
      <c r="BB46" s="111">
        <v>0.0</v>
      </c>
      <c r="BC46" s="111">
        <v>0.0</v>
      </c>
      <c r="BD46" s="111">
        <v>0.0</v>
      </c>
      <c r="BE46" s="111">
        <v>0.0</v>
      </c>
      <c r="BF46" s="111"/>
      <c r="BG46" s="111"/>
      <c r="BH46" s="111"/>
      <c r="BI46" s="111"/>
      <c r="BJ46" s="142"/>
      <c r="BK46" s="111"/>
      <c r="BL46" s="111">
        <v>0.0</v>
      </c>
      <c r="BM46" s="111"/>
      <c r="BN46" s="111"/>
      <c r="BO46" s="111">
        <v>0.0</v>
      </c>
      <c r="BP46" s="111">
        <v>0.0</v>
      </c>
      <c r="BQ46" s="111">
        <v>0.0</v>
      </c>
      <c r="BR46" s="111">
        <v>0.0</v>
      </c>
      <c r="BS46" s="111">
        <v>0.0</v>
      </c>
      <c r="BT46" s="111">
        <v>0.0</v>
      </c>
      <c r="BU46" s="111">
        <v>0.0</v>
      </c>
      <c r="BV46" s="111"/>
      <c r="BW46" s="111"/>
      <c r="BX46" s="111"/>
      <c r="BY46" s="111"/>
      <c r="BZ46" s="142"/>
      <c r="CA46" s="111"/>
      <c r="CB46" s="111">
        <v>0.0</v>
      </c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>
        <v>0.0</v>
      </c>
      <c r="CS46" s="111">
        <v>0.0</v>
      </c>
      <c r="CT46" s="111">
        <v>0.0</v>
      </c>
      <c r="CU46" s="111"/>
      <c r="CV46" s="111"/>
      <c r="CW46" s="111"/>
      <c r="CX46" s="111"/>
      <c r="CY46" s="111"/>
      <c r="CZ46" s="111">
        <v>0.0</v>
      </c>
      <c r="DA46" s="111">
        <v>0.0</v>
      </c>
      <c r="DB46" s="111">
        <v>0.0</v>
      </c>
      <c r="DC46" s="111">
        <v>0.0</v>
      </c>
      <c r="DD46" s="111">
        <v>0.0</v>
      </c>
      <c r="DE46" s="111">
        <v>0.0</v>
      </c>
      <c r="DF46" s="111" t="str">
        <f t="shared" si="2"/>
        <v>#DIV/0!</v>
      </c>
      <c r="DG46" s="111"/>
      <c r="DH46" s="111"/>
      <c r="DI46" s="111"/>
      <c r="DJ46" s="111"/>
      <c r="DK46" s="111"/>
      <c r="DL46" s="111"/>
      <c r="DM46" s="111">
        <v>0.0</v>
      </c>
      <c r="DN46" s="149">
        <f t="shared" si="5"/>
        <v>336.2</v>
      </c>
      <c r="DO46" s="149">
        <v>0.0</v>
      </c>
      <c r="DP46" s="111"/>
      <c r="DQ46" s="111"/>
      <c r="DR46" s="111"/>
      <c r="DS46" s="111"/>
      <c r="DT46" s="111"/>
      <c r="DU46" s="111"/>
      <c r="DV46" s="111"/>
      <c r="DW46" s="111">
        <v>465.0</v>
      </c>
      <c r="DX46" s="146">
        <v>0.0</v>
      </c>
      <c r="DY46" s="111">
        <v>45.0</v>
      </c>
      <c r="DZ46" s="111"/>
      <c r="EA46" s="111"/>
      <c r="EB46" s="111"/>
      <c r="EC46" s="111"/>
      <c r="ED46" s="111">
        <v>0.0</v>
      </c>
      <c r="EE46" s="111"/>
      <c r="EF46" s="111"/>
      <c r="EG46" s="111"/>
      <c r="EH46" s="111"/>
      <c r="EI46" s="111"/>
      <c r="EJ46" s="111"/>
      <c r="EK46" s="147"/>
      <c r="EL46" s="111"/>
    </row>
    <row r="47" ht="17.25" customHeight="1">
      <c r="A47" s="148">
        <v>45958.0</v>
      </c>
      <c r="B47" s="111">
        <v>0.0</v>
      </c>
      <c r="C47" s="111"/>
      <c r="D47" s="111"/>
      <c r="E47" s="111">
        <v>0.0</v>
      </c>
      <c r="F47" s="111">
        <v>0.0</v>
      </c>
      <c r="G47" s="111">
        <v>0.0</v>
      </c>
      <c r="H47" s="111"/>
      <c r="I47" s="111"/>
      <c r="J47" s="111"/>
      <c r="K47" s="111"/>
      <c r="L47" s="111"/>
      <c r="M47" s="111">
        <v>0.0</v>
      </c>
      <c r="N47" s="111">
        <v>0.0</v>
      </c>
      <c r="O47" s="111">
        <v>0.0</v>
      </c>
      <c r="P47" s="111"/>
      <c r="Q47" s="111">
        <v>0.0</v>
      </c>
      <c r="R47" s="111">
        <v>0.0</v>
      </c>
      <c r="S47" s="111"/>
      <c r="T47" s="111">
        <v>0.0</v>
      </c>
      <c r="U47" s="111">
        <v>0.0</v>
      </c>
      <c r="V47" s="111"/>
      <c r="W47" s="111">
        <v>0.0</v>
      </c>
      <c r="X47" s="111">
        <v>0.0</v>
      </c>
      <c r="Y47" s="111"/>
      <c r="Z47" s="111">
        <v>0.0</v>
      </c>
      <c r="AA47" s="111">
        <v>0.0</v>
      </c>
      <c r="AB47" s="111"/>
      <c r="AC47" s="111">
        <v>0.0</v>
      </c>
      <c r="AD47" s="111">
        <v>0.0</v>
      </c>
      <c r="AE47" s="111"/>
      <c r="AF47" s="111">
        <v>0.0</v>
      </c>
      <c r="AG47" s="111">
        <v>0.0</v>
      </c>
      <c r="AH47" s="111"/>
      <c r="AI47" s="111">
        <v>0.0</v>
      </c>
      <c r="AJ47" s="111">
        <v>0.0</v>
      </c>
      <c r="AK47" s="111">
        <v>0.0</v>
      </c>
      <c r="AL47" s="111"/>
      <c r="AM47" s="111">
        <v>0.0</v>
      </c>
      <c r="AN47" s="111"/>
      <c r="AO47" s="111"/>
      <c r="AP47" s="111">
        <v>0.0</v>
      </c>
      <c r="AQ47" s="111">
        <v>0.0</v>
      </c>
      <c r="AR47" s="111">
        <v>0.0</v>
      </c>
      <c r="AS47" s="111"/>
      <c r="AT47" s="142"/>
      <c r="AU47" s="142"/>
      <c r="AV47" s="111"/>
      <c r="AW47" s="111"/>
      <c r="AX47" s="111"/>
      <c r="AY47" s="111">
        <v>0.0</v>
      </c>
      <c r="AZ47" s="111">
        <v>0.0</v>
      </c>
      <c r="BA47" s="111">
        <v>0.0</v>
      </c>
      <c r="BB47" s="111">
        <v>0.0</v>
      </c>
      <c r="BC47" s="111">
        <v>0.0</v>
      </c>
      <c r="BD47" s="111">
        <v>0.0</v>
      </c>
      <c r="BE47" s="111">
        <v>0.0</v>
      </c>
      <c r="BF47" s="111"/>
      <c r="BG47" s="111"/>
      <c r="BH47" s="111"/>
      <c r="BI47" s="111"/>
      <c r="BJ47" s="142"/>
      <c r="BK47" s="111"/>
      <c r="BL47" s="111">
        <v>0.0</v>
      </c>
      <c r="BM47" s="111"/>
      <c r="BN47" s="111"/>
      <c r="BO47" s="111">
        <v>0.0</v>
      </c>
      <c r="BP47" s="111">
        <v>0.0</v>
      </c>
      <c r="BQ47" s="111">
        <v>0.0</v>
      </c>
      <c r="BR47" s="111">
        <v>0.0</v>
      </c>
      <c r="BS47" s="111">
        <v>0.0</v>
      </c>
      <c r="BT47" s="111">
        <v>0.0</v>
      </c>
      <c r="BU47" s="111">
        <v>0.0</v>
      </c>
      <c r="BV47" s="111"/>
      <c r="BW47" s="111"/>
      <c r="BX47" s="111"/>
      <c r="BY47" s="111"/>
      <c r="BZ47" s="142"/>
      <c r="CA47" s="111"/>
      <c r="CB47" s="111">
        <v>0.0</v>
      </c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>
        <v>0.0</v>
      </c>
      <c r="CS47" s="111">
        <v>0.0</v>
      </c>
      <c r="CT47" s="111">
        <v>0.0</v>
      </c>
      <c r="CU47" s="111"/>
      <c r="CV47" s="111"/>
      <c r="CW47" s="111"/>
      <c r="CX47" s="111"/>
      <c r="CY47" s="111"/>
      <c r="CZ47" s="111">
        <v>0.0</v>
      </c>
      <c r="DA47" s="111">
        <v>0.0</v>
      </c>
      <c r="DB47" s="111">
        <v>0.0</v>
      </c>
      <c r="DC47" s="111">
        <v>0.0</v>
      </c>
      <c r="DD47" s="111">
        <v>0.0</v>
      </c>
      <c r="DE47" s="111">
        <v>0.0</v>
      </c>
      <c r="DF47" s="111" t="str">
        <f t="shared" si="2"/>
        <v>#DIV/0!</v>
      </c>
      <c r="DG47" s="111"/>
      <c r="DH47" s="111"/>
      <c r="DI47" s="111"/>
      <c r="DJ47" s="111"/>
      <c r="DK47" s="111"/>
      <c r="DL47" s="111"/>
      <c r="DM47" s="111">
        <v>0.0</v>
      </c>
      <c r="DN47" s="149">
        <f t="shared" si="5"/>
        <v>336.2</v>
      </c>
      <c r="DO47" s="149">
        <v>0.0</v>
      </c>
      <c r="DP47" s="111"/>
      <c r="DQ47" s="111"/>
      <c r="DR47" s="111"/>
      <c r="DS47" s="111"/>
      <c r="DT47" s="111"/>
      <c r="DU47" s="111"/>
      <c r="DV47" s="111"/>
      <c r="DW47" s="111">
        <v>390.0</v>
      </c>
      <c r="DX47" s="146">
        <v>0.0</v>
      </c>
      <c r="DY47" s="111">
        <v>45.0</v>
      </c>
      <c r="DZ47" s="111"/>
      <c r="EA47" s="111"/>
      <c r="EB47" s="111"/>
      <c r="EC47" s="111"/>
      <c r="ED47" s="111">
        <v>0.0</v>
      </c>
      <c r="EE47" s="111"/>
      <c r="EF47" s="111"/>
      <c r="EG47" s="111"/>
      <c r="EH47" s="111"/>
      <c r="EI47" s="111"/>
      <c r="EJ47" s="111"/>
      <c r="EK47" s="147"/>
      <c r="EL47" s="111"/>
    </row>
    <row r="48" ht="17.25" customHeight="1">
      <c r="A48" s="148">
        <v>45959.0</v>
      </c>
      <c r="B48" s="111">
        <v>0.0</v>
      </c>
      <c r="C48" s="111"/>
      <c r="D48" s="111"/>
      <c r="E48" s="111">
        <v>20.0</v>
      </c>
      <c r="F48" s="111">
        <v>0.0</v>
      </c>
      <c r="G48" s="111">
        <v>0.0</v>
      </c>
      <c r="H48" s="111"/>
      <c r="I48" s="111"/>
      <c r="J48" s="111"/>
      <c r="K48" s="111"/>
      <c r="L48" s="111"/>
      <c r="M48" s="111">
        <v>0.0</v>
      </c>
      <c r="N48" s="111">
        <v>0.0</v>
      </c>
      <c r="O48" s="111">
        <v>0.0</v>
      </c>
      <c r="P48" s="111"/>
      <c r="Q48" s="111">
        <v>0.0</v>
      </c>
      <c r="R48" s="111">
        <v>0.0</v>
      </c>
      <c r="S48" s="111"/>
      <c r="T48" s="111">
        <v>0.0</v>
      </c>
      <c r="U48" s="111">
        <v>0.0</v>
      </c>
      <c r="V48" s="111"/>
      <c r="W48" s="111">
        <v>0.0</v>
      </c>
      <c r="X48" s="111">
        <v>0.0</v>
      </c>
      <c r="Y48" s="111"/>
      <c r="Z48" s="111">
        <v>0.0</v>
      </c>
      <c r="AA48" s="111">
        <v>0.0</v>
      </c>
      <c r="AB48" s="111"/>
      <c r="AC48" s="111">
        <v>0.0</v>
      </c>
      <c r="AD48" s="111">
        <v>0.0</v>
      </c>
      <c r="AE48" s="111"/>
      <c r="AF48" s="111">
        <v>0.0</v>
      </c>
      <c r="AG48" s="111">
        <v>0.0</v>
      </c>
      <c r="AH48" s="111"/>
      <c r="AI48" s="111">
        <v>0.0</v>
      </c>
      <c r="AJ48" s="111">
        <v>0.0</v>
      </c>
      <c r="AK48" s="111">
        <v>0.0</v>
      </c>
      <c r="AL48" s="111"/>
      <c r="AM48" s="111">
        <v>0.0</v>
      </c>
      <c r="AN48" s="111"/>
      <c r="AO48" s="111"/>
      <c r="AP48" s="111">
        <v>0.0</v>
      </c>
      <c r="AQ48" s="111">
        <v>0.0</v>
      </c>
      <c r="AR48" s="111">
        <v>0.0</v>
      </c>
      <c r="AS48" s="111"/>
      <c r="AT48" s="142"/>
      <c r="AU48" s="142"/>
      <c r="AV48" s="111"/>
      <c r="AW48" s="111"/>
      <c r="AX48" s="111"/>
      <c r="AY48" s="111">
        <v>0.0</v>
      </c>
      <c r="AZ48" s="111">
        <v>0.0</v>
      </c>
      <c r="BA48" s="111">
        <v>0.0</v>
      </c>
      <c r="BB48" s="111">
        <v>0.0</v>
      </c>
      <c r="BC48" s="111">
        <v>0.0</v>
      </c>
      <c r="BD48" s="111">
        <v>0.0</v>
      </c>
      <c r="BE48" s="111">
        <v>0.0</v>
      </c>
      <c r="BF48" s="111"/>
      <c r="BG48" s="111"/>
      <c r="BH48" s="111"/>
      <c r="BI48" s="111"/>
      <c r="BJ48" s="142"/>
      <c r="BK48" s="111"/>
      <c r="BL48" s="111">
        <v>0.0</v>
      </c>
      <c r="BM48" s="111"/>
      <c r="BN48" s="111"/>
      <c r="BO48" s="111">
        <v>0.0</v>
      </c>
      <c r="BP48" s="111">
        <v>0.0</v>
      </c>
      <c r="BQ48" s="111">
        <v>0.0</v>
      </c>
      <c r="BR48" s="111">
        <v>0.0</v>
      </c>
      <c r="BS48" s="111">
        <v>0.0</v>
      </c>
      <c r="BT48" s="111">
        <v>0.0</v>
      </c>
      <c r="BU48" s="111">
        <v>0.0</v>
      </c>
      <c r="BV48" s="111"/>
      <c r="BW48" s="111"/>
      <c r="BX48" s="111"/>
      <c r="BY48" s="111"/>
      <c r="BZ48" s="142"/>
      <c r="CA48" s="111"/>
      <c r="CB48" s="111">
        <v>0.0</v>
      </c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>
        <v>0.0</v>
      </c>
      <c r="CS48" s="111">
        <v>0.0</v>
      </c>
      <c r="CT48" s="111">
        <v>0.0</v>
      </c>
      <c r="CU48" s="111"/>
      <c r="CV48" s="111"/>
      <c r="CW48" s="111"/>
      <c r="CX48" s="111"/>
      <c r="CY48" s="111"/>
      <c r="CZ48" s="111">
        <v>0.0</v>
      </c>
      <c r="DA48" s="111">
        <v>0.0</v>
      </c>
      <c r="DB48" s="111">
        <v>0.0</v>
      </c>
      <c r="DC48" s="111">
        <v>0.0</v>
      </c>
      <c r="DD48" s="111">
        <v>0.0</v>
      </c>
      <c r="DE48" s="111">
        <v>0.0</v>
      </c>
      <c r="DF48" s="111" t="str">
        <f t="shared" si="2"/>
        <v>#DIV/0!</v>
      </c>
      <c r="DG48" s="111"/>
      <c r="DH48" s="111"/>
      <c r="DI48" s="111"/>
      <c r="DJ48" s="111"/>
      <c r="DK48" s="111"/>
      <c r="DL48" s="111"/>
      <c r="DM48" s="111">
        <v>0.0</v>
      </c>
      <c r="DN48" s="149">
        <f t="shared" si="5"/>
        <v>336.2</v>
      </c>
      <c r="DO48" s="149">
        <v>0.0</v>
      </c>
      <c r="DP48" s="111"/>
      <c r="DQ48" s="111"/>
      <c r="DR48" s="111"/>
      <c r="DS48" s="111"/>
      <c r="DT48" s="111"/>
      <c r="DU48" s="111"/>
      <c r="DV48" s="111"/>
      <c r="DW48" s="111">
        <v>465.0</v>
      </c>
      <c r="DX48" s="146">
        <v>0.0</v>
      </c>
      <c r="DY48" s="111">
        <v>45.0</v>
      </c>
      <c r="DZ48" s="111"/>
      <c r="EA48" s="111"/>
      <c r="EB48" s="111"/>
      <c r="EC48" s="111"/>
      <c r="ED48" s="111">
        <v>0.0</v>
      </c>
      <c r="EE48" s="111"/>
      <c r="EF48" s="111"/>
      <c r="EG48" s="111"/>
      <c r="EH48" s="111"/>
      <c r="EI48" s="111"/>
      <c r="EJ48" s="111"/>
      <c r="EK48" s="147"/>
      <c r="EL48" s="111"/>
    </row>
    <row r="49" ht="17.25" customHeight="1">
      <c r="A49" s="148">
        <v>45960.0</v>
      </c>
      <c r="B49" s="111">
        <v>0.0</v>
      </c>
      <c r="C49" s="111"/>
      <c r="D49" s="111"/>
      <c r="E49" s="111">
        <v>30.0</v>
      </c>
      <c r="F49" s="111">
        <v>0.0</v>
      </c>
      <c r="G49" s="111">
        <v>0.0</v>
      </c>
      <c r="H49" s="111"/>
      <c r="I49" s="111"/>
      <c r="J49" s="111"/>
      <c r="K49" s="111"/>
      <c r="L49" s="111"/>
      <c r="M49" s="111">
        <v>0.0</v>
      </c>
      <c r="N49" s="111">
        <v>0.0</v>
      </c>
      <c r="O49" s="111">
        <v>0.0</v>
      </c>
      <c r="P49" s="111"/>
      <c r="Q49" s="111">
        <v>0.0</v>
      </c>
      <c r="R49" s="111">
        <v>0.0</v>
      </c>
      <c r="S49" s="111"/>
      <c r="T49" s="111">
        <v>11.04</v>
      </c>
      <c r="U49" s="111">
        <v>51.81</v>
      </c>
      <c r="V49" s="111"/>
      <c r="W49" s="111">
        <v>0.0</v>
      </c>
      <c r="X49" s="111">
        <v>0.0</v>
      </c>
      <c r="Y49" s="111"/>
      <c r="Z49" s="111">
        <v>0.0</v>
      </c>
      <c r="AA49" s="111">
        <v>0.0</v>
      </c>
      <c r="AB49" s="111"/>
      <c r="AC49" s="111">
        <v>0.0</v>
      </c>
      <c r="AD49" s="111">
        <v>0.0</v>
      </c>
      <c r="AE49" s="111"/>
      <c r="AF49" s="111">
        <v>0.0</v>
      </c>
      <c r="AG49" s="111">
        <v>0.0</v>
      </c>
      <c r="AH49" s="111"/>
      <c r="AI49" s="111">
        <v>0.0</v>
      </c>
      <c r="AJ49" s="111">
        <v>0.0</v>
      </c>
      <c r="AK49" s="111">
        <v>0.0</v>
      </c>
      <c r="AL49" s="111"/>
      <c r="AM49" s="111">
        <v>0.0</v>
      </c>
      <c r="AN49" s="111">
        <v>7.12</v>
      </c>
      <c r="AO49" s="111">
        <v>30.0</v>
      </c>
      <c r="AP49" s="111">
        <v>0.0</v>
      </c>
      <c r="AQ49" s="111">
        <v>0.0</v>
      </c>
      <c r="AR49" s="111">
        <v>0.0</v>
      </c>
      <c r="AS49" s="111"/>
      <c r="AT49" s="142"/>
      <c r="AU49" s="142"/>
      <c r="AV49" s="111"/>
      <c r="AW49" s="111"/>
      <c r="AX49" s="111"/>
      <c r="AY49" s="111">
        <v>0.0</v>
      </c>
      <c r="AZ49" s="111">
        <v>0.0</v>
      </c>
      <c r="BA49" s="111">
        <v>0.0</v>
      </c>
      <c r="BB49" s="111">
        <v>0.0</v>
      </c>
      <c r="BC49" s="111">
        <v>0.0</v>
      </c>
      <c r="BD49" s="111">
        <v>0.0</v>
      </c>
      <c r="BE49" s="111">
        <v>0.0</v>
      </c>
      <c r="BF49" s="111"/>
      <c r="BG49" s="111"/>
      <c r="BH49" s="111"/>
      <c r="BI49" s="111"/>
      <c r="BJ49" s="142"/>
      <c r="BK49" s="111"/>
      <c r="BL49" s="111">
        <v>0.0</v>
      </c>
      <c r="BM49" s="111"/>
      <c r="BN49" s="111"/>
      <c r="BO49" s="111">
        <v>0.0</v>
      </c>
      <c r="BP49" s="111">
        <v>0.0</v>
      </c>
      <c r="BQ49" s="111">
        <v>0.0</v>
      </c>
      <c r="BR49" s="111">
        <v>0.0</v>
      </c>
      <c r="BS49" s="111">
        <v>0.0</v>
      </c>
      <c r="BT49" s="111">
        <v>0.0</v>
      </c>
      <c r="BU49" s="111">
        <v>0.0</v>
      </c>
      <c r="BV49" s="111"/>
      <c r="BW49" s="111"/>
      <c r="BX49" s="111"/>
      <c r="BY49" s="111"/>
      <c r="BZ49" s="142"/>
      <c r="CA49" s="111"/>
      <c r="CB49" s="111">
        <v>0.0</v>
      </c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>
        <v>0.0</v>
      </c>
      <c r="CS49" s="111">
        <v>0.0</v>
      </c>
      <c r="CT49" s="111">
        <v>0.0</v>
      </c>
      <c r="CU49" s="111"/>
      <c r="CV49" s="111"/>
      <c r="CW49" s="111"/>
      <c r="CX49" s="111"/>
      <c r="CY49" s="111"/>
      <c r="CZ49" s="111">
        <v>0.0</v>
      </c>
      <c r="DA49" s="111">
        <v>0.0</v>
      </c>
      <c r="DB49" s="111">
        <v>0.0</v>
      </c>
      <c r="DC49" s="111">
        <v>0.0</v>
      </c>
      <c r="DD49" s="111">
        <v>0.0</v>
      </c>
      <c r="DE49" s="111">
        <v>0.0</v>
      </c>
      <c r="DF49" s="111" t="str">
        <f t="shared" si="2"/>
        <v>#DIV/0!</v>
      </c>
      <c r="DG49" s="111"/>
      <c r="DH49" s="111"/>
      <c r="DI49" s="111"/>
      <c r="DJ49" s="111"/>
      <c r="DK49" s="111"/>
      <c r="DL49" s="111"/>
      <c r="DM49" s="111">
        <v>0.0</v>
      </c>
      <c r="DN49" s="149">
        <f t="shared" si="5"/>
        <v>336.2</v>
      </c>
      <c r="DO49" s="149">
        <v>0.0</v>
      </c>
      <c r="DP49" s="111"/>
      <c r="DQ49" s="111"/>
      <c r="DR49" s="111"/>
      <c r="DS49" s="111"/>
      <c r="DT49" s="111"/>
      <c r="DU49" s="111"/>
      <c r="DV49" s="111"/>
      <c r="DW49" s="111">
        <v>495.0</v>
      </c>
      <c r="DX49" s="146">
        <v>0.0</v>
      </c>
      <c r="DY49" s="111">
        <v>45.0</v>
      </c>
      <c r="DZ49" s="111"/>
      <c r="EA49" s="111"/>
      <c r="EB49" s="111"/>
      <c r="EC49" s="111"/>
      <c r="ED49" s="111">
        <v>0.0</v>
      </c>
      <c r="EE49" s="111"/>
      <c r="EF49" s="111"/>
      <c r="EG49" s="111"/>
      <c r="EH49" s="111"/>
      <c r="EI49" s="111"/>
      <c r="EJ49" s="111"/>
      <c r="EK49" s="147"/>
      <c r="EL49" s="111"/>
    </row>
    <row r="50" ht="17.25" customHeight="1">
      <c r="A50" s="148">
        <v>45961.0</v>
      </c>
      <c r="B50" s="111">
        <v>0.0</v>
      </c>
      <c r="C50" s="111"/>
      <c r="D50" s="111"/>
      <c r="E50" s="111">
        <v>20.0</v>
      </c>
      <c r="F50" s="111">
        <v>23.95</v>
      </c>
      <c r="G50" s="111">
        <v>79.24</v>
      </c>
      <c r="H50" s="111"/>
      <c r="I50" s="111"/>
      <c r="J50" s="111"/>
      <c r="K50" s="111"/>
      <c r="L50" s="111"/>
      <c r="M50" s="111">
        <v>11.82</v>
      </c>
      <c r="N50" s="111">
        <v>70.81</v>
      </c>
      <c r="O50" s="111">
        <v>5.72</v>
      </c>
      <c r="P50" s="111"/>
      <c r="Q50" s="111">
        <v>11.8</v>
      </c>
      <c r="R50" s="111">
        <v>70.81</v>
      </c>
      <c r="S50" s="111"/>
      <c r="T50" s="111">
        <v>10.74</v>
      </c>
      <c r="U50" s="111">
        <v>54.09</v>
      </c>
      <c r="V50" s="111"/>
      <c r="W50" s="111">
        <v>0.0</v>
      </c>
      <c r="X50" s="111">
        <v>0.0</v>
      </c>
      <c r="Y50" s="111"/>
      <c r="Z50" s="111">
        <v>0.0</v>
      </c>
      <c r="AA50" s="111">
        <v>0.0</v>
      </c>
      <c r="AB50" s="111"/>
      <c r="AC50" s="111">
        <v>0.0</v>
      </c>
      <c r="AD50" s="111">
        <v>0.0</v>
      </c>
      <c r="AE50" s="111"/>
      <c r="AF50" s="111">
        <v>0.0</v>
      </c>
      <c r="AG50" s="111">
        <v>0.0</v>
      </c>
      <c r="AH50" s="111"/>
      <c r="AI50" s="111">
        <v>0.0</v>
      </c>
      <c r="AJ50" s="111">
        <v>0.0</v>
      </c>
      <c r="AK50" s="111">
        <v>0.0</v>
      </c>
      <c r="AL50" s="111"/>
      <c r="AM50" s="111">
        <v>0.0</v>
      </c>
      <c r="AN50" s="111">
        <v>7.13</v>
      </c>
      <c r="AO50" s="111">
        <v>30.0</v>
      </c>
      <c r="AP50" s="111">
        <v>0.0</v>
      </c>
      <c r="AQ50" s="111">
        <v>0.0</v>
      </c>
      <c r="AR50" s="111">
        <v>0.0</v>
      </c>
      <c r="AS50" s="111"/>
      <c r="AT50" s="142"/>
      <c r="AU50" s="142"/>
      <c r="AV50" s="111"/>
      <c r="AW50" s="111"/>
      <c r="AX50" s="111"/>
      <c r="AY50" s="111">
        <v>0.0</v>
      </c>
      <c r="AZ50" s="111">
        <v>0.0</v>
      </c>
      <c r="BA50" s="111">
        <v>0.0</v>
      </c>
      <c r="BB50" s="111">
        <v>0.0</v>
      </c>
      <c r="BC50" s="111">
        <v>0.0</v>
      </c>
      <c r="BD50" s="111">
        <v>0.0</v>
      </c>
      <c r="BE50" s="111">
        <v>0.0</v>
      </c>
      <c r="BF50" s="111"/>
      <c r="BG50" s="111"/>
      <c r="BH50" s="111"/>
      <c r="BI50" s="111"/>
      <c r="BJ50" s="142"/>
      <c r="BK50" s="111"/>
      <c r="BL50" s="111">
        <v>0.0</v>
      </c>
      <c r="BM50" s="111"/>
      <c r="BN50" s="111"/>
      <c r="BO50" s="111">
        <v>0.0</v>
      </c>
      <c r="BP50" s="111">
        <v>0.0</v>
      </c>
      <c r="BQ50" s="111">
        <v>0.0</v>
      </c>
      <c r="BR50" s="111">
        <v>0.0</v>
      </c>
      <c r="BS50" s="111">
        <v>0.0</v>
      </c>
      <c r="BT50" s="111">
        <v>0.0</v>
      </c>
      <c r="BU50" s="111">
        <v>0.0</v>
      </c>
      <c r="BV50" s="111"/>
      <c r="BW50" s="111"/>
      <c r="BX50" s="111"/>
      <c r="BY50" s="111"/>
      <c r="BZ50" s="142"/>
      <c r="CA50" s="111"/>
      <c r="CB50" s="111">
        <v>0.0</v>
      </c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>
        <v>0.0</v>
      </c>
      <c r="CS50" s="111">
        <v>0.0</v>
      </c>
      <c r="CT50" s="111">
        <v>0.0</v>
      </c>
      <c r="CU50" s="111"/>
      <c r="CV50" s="111"/>
      <c r="CW50" s="111"/>
      <c r="CX50" s="111"/>
      <c r="CY50" s="111"/>
      <c r="CZ50" s="111">
        <v>0.0</v>
      </c>
      <c r="DA50" s="111">
        <v>0.0</v>
      </c>
      <c r="DB50" s="111">
        <v>0.0</v>
      </c>
      <c r="DC50" s="111">
        <v>0.0</v>
      </c>
      <c r="DD50" s="111">
        <v>0.0</v>
      </c>
      <c r="DE50" s="111">
        <v>0.0</v>
      </c>
      <c r="DF50" s="111" t="str">
        <f t="shared" si="2"/>
        <v>#DIV/0!</v>
      </c>
      <c r="DG50" s="111"/>
      <c r="DH50" s="111"/>
      <c r="DI50" s="111"/>
      <c r="DJ50" s="111"/>
      <c r="DK50" s="111"/>
      <c r="DL50" s="111"/>
      <c r="DM50" s="111">
        <v>0.0</v>
      </c>
      <c r="DN50" s="149">
        <f t="shared" si="5"/>
        <v>336.2</v>
      </c>
      <c r="DO50" s="149">
        <f>0.24+3</f>
        <v>3.24</v>
      </c>
      <c r="DP50" s="111"/>
      <c r="DQ50" s="111"/>
      <c r="DR50" s="111"/>
      <c r="DS50" s="111"/>
      <c r="DT50" s="111"/>
      <c r="DU50" s="111"/>
      <c r="DV50" s="111"/>
      <c r="DW50" s="111">
        <v>735.0</v>
      </c>
      <c r="DX50" s="146">
        <v>0.0</v>
      </c>
      <c r="DY50" s="111">
        <v>45.0</v>
      </c>
      <c r="DZ50" s="111"/>
      <c r="EA50" s="111"/>
      <c r="EB50" s="111"/>
      <c r="EC50" s="111"/>
      <c r="ED50" s="111">
        <v>0.0</v>
      </c>
      <c r="EE50" s="111"/>
      <c r="EF50" s="111"/>
      <c r="EG50" s="111"/>
      <c r="EH50" s="111"/>
      <c r="EI50" s="111"/>
      <c r="EJ50" s="111"/>
      <c r="EK50" s="147"/>
      <c r="EL50" s="111"/>
    </row>
    <row r="51" ht="17.25" customHeight="1">
      <c r="A51" s="150" t="s">
        <v>181</v>
      </c>
      <c r="B51" s="151">
        <f t="shared" ref="B51:EL51" si="6">SUM(B20:B50)</f>
        <v>0</v>
      </c>
      <c r="C51" s="151">
        <f t="shared" si="6"/>
        <v>0</v>
      </c>
      <c r="D51" s="151">
        <f t="shared" si="6"/>
        <v>0</v>
      </c>
      <c r="E51" s="151">
        <f t="shared" si="6"/>
        <v>910</v>
      </c>
      <c r="F51" s="151">
        <f t="shared" si="6"/>
        <v>403.69</v>
      </c>
      <c r="G51" s="151">
        <f t="shared" si="6"/>
        <v>628.37</v>
      </c>
      <c r="H51" s="151">
        <f t="shared" si="6"/>
        <v>0</v>
      </c>
      <c r="I51" s="151">
        <f t="shared" si="6"/>
        <v>0</v>
      </c>
      <c r="J51" s="151">
        <f t="shared" si="6"/>
        <v>0</v>
      </c>
      <c r="K51" s="151">
        <f t="shared" si="6"/>
        <v>0</v>
      </c>
      <c r="L51" s="151">
        <f t="shared" si="6"/>
        <v>0</v>
      </c>
      <c r="M51" s="151">
        <f t="shared" si="6"/>
        <v>141.16</v>
      </c>
      <c r="N51" s="151">
        <f t="shared" si="6"/>
        <v>674.45</v>
      </c>
      <c r="O51" s="151">
        <f t="shared" si="6"/>
        <v>69.18</v>
      </c>
      <c r="P51" s="151">
        <f t="shared" si="6"/>
        <v>0</v>
      </c>
      <c r="Q51" s="151">
        <f t="shared" si="6"/>
        <v>11.8</v>
      </c>
      <c r="R51" s="151">
        <f t="shared" si="6"/>
        <v>70.81</v>
      </c>
      <c r="S51" s="151">
        <f t="shared" si="6"/>
        <v>0</v>
      </c>
      <c r="T51" s="151">
        <f t="shared" si="6"/>
        <v>31.78</v>
      </c>
      <c r="U51" s="151">
        <f t="shared" si="6"/>
        <v>159.2</v>
      </c>
      <c r="V51" s="151">
        <f t="shared" si="6"/>
        <v>0</v>
      </c>
      <c r="W51" s="151">
        <f t="shared" si="6"/>
        <v>129.34</v>
      </c>
      <c r="X51" s="151">
        <f t="shared" si="6"/>
        <v>603.64</v>
      </c>
      <c r="Y51" s="151">
        <f t="shared" si="6"/>
        <v>0</v>
      </c>
      <c r="Z51" s="151">
        <f t="shared" si="6"/>
        <v>106.87</v>
      </c>
      <c r="AA51" s="151">
        <f t="shared" si="6"/>
        <v>539.92</v>
      </c>
      <c r="AB51" s="151">
        <f t="shared" si="6"/>
        <v>0</v>
      </c>
      <c r="AC51" s="151">
        <f t="shared" si="6"/>
        <v>129.34</v>
      </c>
      <c r="AD51" s="151">
        <f t="shared" si="6"/>
        <v>603.64</v>
      </c>
      <c r="AE51" s="151">
        <f t="shared" si="6"/>
        <v>0</v>
      </c>
      <c r="AF51" s="151">
        <f t="shared" si="6"/>
        <v>110.72</v>
      </c>
      <c r="AG51" s="151">
        <f t="shared" si="6"/>
        <v>584.98</v>
      </c>
      <c r="AH51" s="151">
        <f t="shared" si="6"/>
        <v>0</v>
      </c>
      <c r="AI51" s="151">
        <f t="shared" si="6"/>
        <v>0</v>
      </c>
      <c r="AJ51" s="151">
        <f t="shared" si="6"/>
        <v>0</v>
      </c>
      <c r="AK51" s="151">
        <f t="shared" si="6"/>
        <v>0</v>
      </c>
      <c r="AL51" s="151">
        <f t="shared" si="6"/>
        <v>5.55</v>
      </c>
      <c r="AM51" s="151">
        <f t="shared" si="6"/>
        <v>0</v>
      </c>
      <c r="AN51" s="151">
        <f t="shared" si="6"/>
        <v>21.29</v>
      </c>
      <c r="AO51" s="151">
        <f t="shared" si="6"/>
        <v>91</v>
      </c>
      <c r="AP51" s="151">
        <f t="shared" si="6"/>
        <v>0</v>
      </c>
      <c r="AQ51" s="151">
        <f t="shared" si="6"/>
        <v>0</v>
      </c>
      <c r="AR51" s="151">
        <f t="shared" si="6"/>
        <v>0</v>
      </c>
      <c r="AS51" s="151">
        <f t="shared" si="6"/>
        <v>0</v>
      </c>
      <c r="AT51" s="151">
        <f t="shared" si="6"/>
        <v>0</v>
      </c>
      <c r="AU51" s="151">
        <f t="shared" si="6"/>
        <v>0</v>
      </c>
      <c r="AV51" s="151">
        <f t="shared" si="6"/>
        <v>0</v>
      </c>
      <c r="AW51" s="151">
        <f t="shared" si="6"/>
        <v>0</v>
      </c>
      <c r="AX51" s="151">
        <f t="shared" si="6"/>
        <v>0</v>
      </c>
      <c r="AY51" s="151">
        <f t="shared" si="6"/>
        <v>69.06</v>
      </c>
      <c r="AZ51" s="151">
        <f t="shared" si="6"/>
        <v>148</v>
      </c>
      <c r="BA51" s="151">
        <f t="shared" si="6"/>
        <v>0.92</v>
      </c>
      <c r="BB51" s="151">
        <f t="shared" si="6"/>
        <v>57.69</v>
      </c>
      <c r="BC51" s="151">
        <f t="shared" si="6"/>
        <v>591.87</v>
      </c>
      <c r="BD51" s="151">
        <f t="shared" si="6"/>
        <v>70.57</v>
      </c>
      <c r="BE51" s="151">
        <f t="shared" si="6"/>
        <v>333.5</v>
      </c>
      <c r="BF51" s="151">
        <f t="shared" si="6"/>
        <v>0</v>
      </c>
      <c r="BG51" s="151">
        <f t="shared" si="6"/>
        <v>0</v>
      </c>
      <c r="BH51" s="151">
        <f t="shared" si="6"/>
        <v>0</v>
      </c>
      <c r="BI51" s="151">
        <f t="shared" si="6"/>
        <v>0</v>
      </c>
      <c r="BJ51" s="151">
        <f t="shared" si="6"/>
        <v>0</v>
      </c>
      <c r="BK51" s="151">
        <f t="shared" si="6"/>
        <v>0</v>
      </c>
      <c r="BL51" s="151">
        <f t="shared" si="6"/>
        <v>36</v>
      </c>
      <c r="BM51" s="151">
        <f t="shared" si="6"/>
        <v>0</v>
      </c>
      <c r="BN51" s="151">
        <f t="shared" si="6"/>
        <v>0</v>
      </c>
      <c r="BO51" s="151">
        <f t="shared" si="6"/>
        <v>69.02</v>
      </c>
      <c r="BP51" s="151">
        <f t="shared" si="6"/>
        <v>152</v>
      </c>
      <c r="BQ51" s="151">
        <f t="shared" si="6"/>
        <v>0.9</v>
      </c>
      <c r="BR51" s="151">
        <f t="shared" si="6"/>
        <v>53.35</v>
      </c>
      <c r="BS51" s="151">
        <f t="shared" si="6"/>
        <v>605.32</v>
      </c>
      <c r="BT51" s="151">
        <f t="shared" si="6"/>
        <v>70.47</v>
      </c>
      <c r="BU51" s="151">
        <f t="shared" si="6"/>
        <v>325</v>
      </c>
      <c r="BV51" s="151">
        <f t="shared" si="6"/>
        <v>0</v>
      </c>
      <c r="BW51" s="151">
        <f t="shared" si="6"/>
        <v>0</v>
      </c>
      <c r="BX51" s="151">
        <f t="shared" si="6"/>
        <v>0</v>
      </c>
      <c r="BY51" s="151">
        <f t="shared" si="6"/>
        <v>0</v>
      </c>
      <c r="BZ51" s="151">
        <f t="shared" si="6"/>
        <v>0</v>
      </c>
      <c r="CA51" s="151">
        <f t="shared" si="6"/>
        <v>0</v>
      </c>
      <c r="CB51" s="151">
        <f t="shared" si="6"/>
        <v>36</v>
      </c>
      <c r="CC51" s="151">
        <f t="shared" si="6"/>
        <v>0</v>
      </c>
      <c r="CD51" s="151">
        <f t="shared" si="6"/>
        <v>0</v>
      </c>
      <c r="CE51" s="151">
        <f t="shared" si="6"/>
        <v>0</v>
      </c>
      <c r="CF51" s="151">
        <f t="shared" si="6"/>
        <v>0</v>
      </c>
      <c r="CG51" s="151">
        <f t="shared" si="6"/>
        <v>0</v>
      </c>
      <c r="CH51" s="151">
        <f t="shared" si="6"/>
        <v>0</v>
      </c>
      <c r="CI51" s="151">
        <f t="shared" si="6"/>
        <v>0</v>
      </c>
      <c r="CJ51" s="151">
        <f t="shared" si="6"/>
        <v>0</v>
      </c>
      <c r="CK51" s="151">
        <f t="shared" si="6"/>
        <v>0</v>
      </c>
      <c r="CL51" s="151">
        <f t="shared" si="6"/>
        <v>0</v>
      </c>
      <c r="CM51" s="151">
        <f t="shared" si="6"/>
        <v>0</v>
      </c>
      <c r="CN51" s="151">
        <f t="shared" si="6"/>
        <v>0</v>
      </c>
      <c r="CO51" s="151">
        <f t="shared" si="6"/>
        <v>0</v>
      </c>
      <c r="CP51" s="151">
        <f t="shared" si="6"/>
        <v>0</v>
      </c>
      <c r="CQ51" s="151">
        <f t="shared" si="6"/>
        <v>0</v>
      </c>
      <c r="CR51" s="151">
        <f t="shared" si="6"/>
        <v>32540</v>
      </c>
      <c r="CS51" s="151">
        <f t="shared" si="6"/>
        <v>0</v>
      </c>
      <c r="CT51" s="152">
        <f t="shared" si="6"/>
        <v>578.6416667</v>
      </c>
      <c r="CU51" s="151">
        <f t="shared" si="6"/>
        <v>0</v>
      </c>
      <c r="CV51" s="151">
        <f t="shared" si="6"/>
        <v>180.2</v>
      </c>
      <c r="CW51" s="151">
        <f t="shared" si="6"/>
        <v>0</v>
      </c>
      <c r="CX51" s="151">
        <f t="shared" si="6"/>
        <v>0</v>
      </c>
      <c r="CY51" s="151">
        <f t="shared" si="6"/>
        <v>0</v>
      </c>
      <c r="CZ51" s="151">
        <f t="shared" si="6"/>
        <v>11501</v>
      </c>
      <c r="DA51" s="151">
        <f t="shared" si="6"/>
        <v>1335.1</v>
      </c>
      <c r="DB51" s="151">
        <f t="shared" si="6"/>
        <v>44.1</v>
      </c>
      <c r="DC51" s="151">
        <f t="shared" si="6"/>
        <v>26.3</v>
      </c>
      <c r="DD51" s="151">
        <f t="shared" si="6"/>
        <v>1.172</v>
      </c>
      <c r="DE51" s="151">
        <f t="shared" si="6"/>
        <v>20.6</v>
      </c>
      <c r="DF51" s="151" t="str">
        <f t="shared" si="6"/>
        <v>#DIV/0!</v>
      </c>
      <c r="DG51" s="151">
        <f t="shared" si="6"/>
        <v>0</v>
      </c>
      <c r="DH51" s="151">
        <f t="shared" si="6"/>
        <v>0</v>
      </c>
      <c r="DI51" s="151">
        <f t="shared" si="6"/>
        <v>0</v>
      </c>
      <c r="DJ51" s="151">
        <f t="shared" si="6"/>
        <v>0</v>
      </c>
      <c r="DK51" s="151">
        <f t="shared" si="6"/>
        <v>0</v>
      </c>
      <c r="DL51" s="151">
        <f t="shared" si="6"/>
        <v>0</v>
      </c>
      <c r="DM51" s="151">
        <f t="shared" si="6"/>
        <v>51.4</v>
      </c>
      <c r="DN51" s="151">
        <f t="shared" si="6"/>
        <v>9894.2</v>
      </c>
      <c r="DO51" s="151">
        <f t="shared" si="6"/>
        <v>8.72</v>
      </c>
      <c r="DP51" s="151">
        <f t="shared" si="6"/>
        <v>0</v>
      </c>
      <c r="DQ51" s="151">
        <f t="shared" si="6"/>
        <v>0</v>
      </c>
      <c r="DR51" s="151">
        <f t="shared" si="6"/>
        <v>0</v>
      </c>
      <c r="DS51" s="151">
        <f t="shared" si="6"/>
        <v>0</v>
      </c>
      <c r="DT51" s="151">
        <f t="shared" si="6"/>
        <v>0</v>
      </c>
      <c r="DU51" s="151">
        <f t="shared" si="6"/>
        <v>0</v>
      </c>
      <c r="DV51" s="151">
        <f t="shared" si="6"/>
        <v>0</v>
      </c>
      <c r="DW51" s="151">
        <f t="shared" si="6"/>
        <v>47235</v>
      </c>
      <c r="DX51" s="153">
        <f t="shared" si="6"/>
        <v>51.56420682</v>
      </c>
      <c r="DY51" s="151">
        <f t="shared" si="6"/>
        <v>1395</v>
      </c>
      <c r="DZ51" s="151">
        <f t="shared" si="6"/>
        <v>0</v>
      </c>
      <c r="EA51" s="151">
        <f t="shared" si="6"/>
        <v>0</v>
      </c>
      <c r="EB51" s="151">
        <f t="shared" si="6"/>
        <v>0</v>
      </c>
      <c r="EC51" s="151">
        <f t="shared" si="6"/>
        <v>0</v>
      </c>
      <c r="ED51" s="151">
        <f t="shared" si="6"/>
        <v>93.4</v>
      </c>
      <c r="EE51" s="151">
        <f t="shared" si="6"/>
        <v>0</v>
      </c>
      <c r="EF51" s="151">
        <f t="shared" si="6"/>
        <v>0</v>
      </c>
      <c r="EG51" s="151">
        <f t="shared" si="6"/>
        <v>0</v>
      </c>
      <c r="EH51" s="151">
        <f t="shared" si="6"/>
        <v>0</v>
      </c>
      <c r="EI51" s="151">
        <f t="shared" si="6"/>
        <v>0</v>
      </c>
      <c r="EJ51" s="151">
        <f t="shared" si="6"/>
        <v>0</v>
      </c>
      <c r="EK51" s="151">
        <f t="shared" si="6"/>
        <v>0</v>
      </c>
      <c r="EL51" s="151">
        <f t="shared" si="6"/>
        <v>0</v>
      </c>
    </row>
    <row r="52" ht="17.25" customHeight="1">
      <c r="A52" s="150" t="s">
        <v>182</v>
      </c>
      <c r="B52" s="151">
        <f t="shared" ref="B52:EL52" si="7">B51/31</f>
        <v>0</v>
      </c>
      <c r="C52" s="151">
        <f t="shared" si="7"/>
        <v>0</v>
      </c>
      <c r="D52" s="151">
        <f t="shared" si="7"/>
        <v>0</v>
      </c>
      <c r="E52" s="151">
        <f t="shared" si="7"/>
        <v>29.35483871</v>
      </c>
      <c r="F52" s="151">
        <f t="shared" si="7"/>
        <v>13.02225806</v>
      </c>
      <c r="G52" s="151">
        <f t="shared" si="7"/>
        <v>20.27</v>
      </c>
      <c r="H52" s="151">
        <f t="shared" si="7"/>
        <v>0</v>
      </c>
      <c r="I52" s="151">
        <f t="shared" si="7"/>
        <v>0</v>
      </c>
      <c r="J52" s="151">
        <f t="shared" si="7"/>
        <v>0</v>
      </c>
      <c r="K52" s="151">
        <f t="shared" si="7"/>
        <v>0</v>
      </c>
      <c r="L52" s="151">
        <f t="shared" si="7"/>
        <v>0</v>
      </c>
      <c r="M52" s="151">
        <f t="shared" si="7"/>
        <v>4.553548387</v>
      </c>
      <c r="N52" s="151">
        <f t="shared" si="7"/>
        <v>21.75645161</v>
      </c>
      <c r="O52" s="151">
        <f t="shared" si="7"/>
        <v>2.231612903</v>
      </c>
      <c r="P52" s="151">
        <f t="shared" si="7"/>
        <v>0</v>
      </c>
      <c r="Q52" s="151">
        <f t="shared" si="7"/>
        <v>0.3806451613</v>
      </c>
      <c r="R52" s="151">
        <f t="shared" si="7"/>
        <v>2.284193548</v>
      </c>
      <c r="S52" s="151">
        <f t="shared" si="7"/>
        <v>0</v>
      </c>
      <c r="T52" s="151">
        <f t="shared" si="7"/>
        <v>1.02516129</v>
      </c>
      <c r="U52" s="151">
        <f t="shared" si="7"/>
        <v>5.135483871</v>
      </c>
      <c r="V52" s="151">
        <f t="shared" si="7"/>
        <v>0</v>
      </c>
      <c r="W52" s="151">
        <f t="shared" si="7"/>
        <v>4.172258065</v>
      </c>
      <c r="X52" s="151">
        <f t="shared" si="7"/>
        <v>19.47225806</v>
      </c>
      <c r="Y52" s="151">
        <f t="shared" si="7"/>
        <v>0</v>
      </c>
      <c r="Z52" s="151">
        <f t="shared" si="7"/>
        <v>3.447419355</v>
      </c>
      <c r="AA52" s="151">
        <f t="shared" si="7"/>
        <v>17.41677419</v>
      </c>
      <c r="AB52" s="151">
        <f t="shared" si="7"/>
        <v>0</v>
      </c>
      <c r="AC52" s="151">
        <f t="shared" si="7"/>
        <v>4.172258065</v>
      </c>
      <c r="AD52" s="151">
        <f t="shared" si="7"/>
        <v>19.47225806</v>
      </c>
      <c r="AE52" s="151">
        <f t="shared" si="7"/>
        <v>0</v>
      </c>
      <c r="AF52" s="151">
        <f t="shared" si="7"/>
        <v>3.571612903</v>
      </c>
      <c r="AG52" s="151">
        <f t="shared" si="7"/>
        <v>18.87032258</v>
      </c>
      <c r="AH52" s="151">
        <f t="shared" si="7"/>
        <v>0</v>
      </c>
      <c r="AI52" s="151">
        <f t="shared" si="7"/>
        <v>0</v>
      </c>
      <c r="AJ52" s="151">
        <f t="shared" si="7"/>
        <v>0</v>
      </c>
      <c r="AK52" s="151">
        <f t="shared" si="7"/>
        <v>0</v>
      </c>
      <c r="AL52" s="151">
        <f t="shared" si="7"/>
        <v>0.1790322581</v>
      </c>
      <c r="AM52" s="151">
        <f t="shared" si="7"/>
        <v>0</v>
      </c>
      <c r="AN52" s="151">
        <f t="shared" si="7"/>
        <v>0.6867741935</v>
      </c>
      <c r="AO52" s="151">
        <f t="shared" si="7"/>
        <v>2.935483871</v>
      </c>
      <c r="AP52" s="151">
        <f t="shared" si="7"/>
        <v>0</v>
      </c>
      <c r="AQ52" s="151">
        <f t="shared" si="7"/>
        <v>0</v>
      </c>
      <c r="AR52" s="151">
        <f t="shared" si="7"/>
        <v>0</v>
      </c>
      <c r="AS52" s="151">
        <f t="shared" si="7"/>
        <v>0</v>
      </c>
      <c r="AT52" s="151">
        <f t="shared" si="7"/>
        <v>0</v>
      </c>
      <c r="AU52" s="151">
        <f t="shared" si="7"/>
        <v>0</v>
      </c>
      <c r="AV52" s="151">
        <f t="shared" si="7"/>
        <v>0</v>
      </c>
      <c r="AW52" s="151">
        <f t="shared" si="7"/>
        <v>0</v>
      </c>
      <c r="AX52" s="151">
        <f t="shared" si="7"/>
        <v>0</v>
      </c>
      <c r="AY52" s="151">
        <f t="shared" si="7"/>
        <v>2.227741935</v>
      </c>
      <c r="AZ52" s="151">
        <f t="shared" si="7"/>
        <v>4.774193548</v>
      </c>
      <c r="BA52" s="151">
        <f t="shared" si="7"/>
        <v>0.02967741935</v>
      </c>
      <c r="BB52" s="151">
        <f t="shared" si="7"/>
        <v>1.860967742</v>
      </c>
      <c r="BC52" s="151">
        <f t="shared" si="7"/>
        <v>19.09258065</v>
      </c>
      <c r="BD52" s="151">
        <f t="shared" si="7"/>
        <v>2.276451613</v>
      </c>
      <c r="BE52" s="151">
        <f t="shared" si="7"/>
        <v>10.75806452</v>
      </c>
      <c r="BF52" s="151">
        <f t="shared" si="7"/>
        <v>0</v>
      </c>
      <c r="BG52" s="151">
        <f t="shared" si="7"/>
        <v>0</v>
      </c>
      <c r="BH52" s="151">
        <f t="shared" si="7"/>
        <v>0</v>
      </c>
      <c r="BI52" s="151">
        <f t="shared" si="7"/>
        <v>0</v>
      </c>
      <c r="BJ52" s="151">
        <f t="shared" si="7"/>
        <v>0</v>
      </c>
      <c r="BK52" s="151">
        <f t="shared" si="7"/>
        <v>0</v>
      </c>
      <c r="BL52" s="151">
        <f t="shared" si="7"/>
        <v>1.161290323</v>
      </c>
      <c r="BM52" s="151">
        <f t="shared" si="7"/>
        <v>0</v>
      </c>
      <c r="BN52" s="151">
        <f t="shared" si="7"/>
        <v>0</v>
      </c>
      <c r="BO52" s="151">
        <f t="shared" si="7"/>
        <v>2.226451613</v>
      </c>
      <c r="BP52" s="151">
        <f t="shared" si="7"/>
        <v>4.903225806</v>
      </c>
      <c r="BQ52" s="151">
        <f t="shared" si="7"/>
        <v>0.02903225806</v>
      </c>
      <c r="BR52" s="151">
        <f t="shared" si="7"/>
        <v>1.720967742</v>
      </c>
      <c r="BS52" s="151">
        <f t="shared" si="7"/>
        <v>19.52645161</v>
      </c>
      <c r="BT52" s="151">
        <f t="shared" si="7"/>
        <v>2.273225806</v>
      </c>
      <c r="BU52" s="151">
        <f t="shared" si="7"/>
        <v>10.48387097</v>
      </c>
      <c r="BV52" s="151">
        <f t="shared" si="7"/>
        <v>0</v>
      </c>
      <c r="BW52" s="151">
        <f t="shared" si="7"/>
        <v>0</v>
      </c>
      <c r="BX52" s="151">
        <f t="shared" si="7"/>
        <v>0</v>
      </c>
      <c r="BY52" s="151">
        <f t="shared" si="7"/>
        <v>0</v>
      </c>
      <c r="BZ52" s="151">
        <f t="shared" si="7"/>
        <v>0</v>
      </c>
      <c r="CA52" s="151">
        <f t="shared" si="7"/>
        <v>0</v>
      </c>
      <c r="CB52" s="151">
        <f t="shared" si="7"/>
        <v>1.161290323</v>
      </c>
      <c r="CC52" s="151">
        <f t="shared" si="7"/>
        <v>0</v>
      </c>
      <c r="CD52" s="151">
        <f t="shared" si="7"/>
        <v>0</v>
      </c>
      <c r="CE52" s="151">
        <f t="shared" si="7"/>
        <v>0</v>
      </c>
      <c r="CF52" s="151">
        <f t="shared" si="7"/>
        <v>0</v>
      </c>
      <c r="CG52" s="151">
        <f t="shared" si="7"/>
        <v>0</v>
      </c>
      <c r="CH52" s="151">
        <f t="shared" si="7"/>
        <v>0</v>
      </c>
      <c r="CI52" s="151">
        <f t="shared" si="7"/>
        <v>0</v>
      </c>
      <c r="CJ52" s="151">
        <f t="shared" si="7"/>
        <v>0</v>
      </c>
      <c r="CK52" s="151">
        <f t="shared" si="7"/>
        <v>0</v>
      </c>
      <c r="CL52" s="151">
        <f t="shared" si="7"/>
        <v>0</v>
      </c>
      <c r="CM52" s="151">
        <f t="shared" si="7"/>
        <v>0</v>
      </c>
      <c r="CN52" s="151">
        <f t="shared" si="7"/>
        <v>0</v>
      </c>
      <c r="CO52" s="151">
        <f t="shared" si="7"/>
        <v>0</v>
      </c>
      <c r="CP52" s="151">
        <f t="shared" si="7"/>
        <v>0</v>
      </c>
      <c r="CQ52" s="151">
        <f t="shared" si="7"/>
        <v>0</v>
      </c>
      <c r="CR52" s="151">
        <f t="shared" si="7"/>
        <v>1049.677419</v>
      </c>
      <c r="CS52" s="151">
        <f t="shared" si="7"/>
        <v>0</v>
      </c>
      <c r="CT52" s="151">
        <f t="shared" si="7"/>
        <v>18.66586022</v>
      </c>
      <c r="CU52" s="151">
        <f t="shared" si="7"/>
        <v>0</v>
      </c>
      <c r="CV52" s="151">
        <f t="shared" si="7"/>
        <v>5.812903226</v>
      </c>
      <c r="CW52" s="151">
        <f t="shared" si="7"/>
        <v>0</v>
      </c>
      <c r="CX52" s="151">
        <f t="shared" si="7"/>
        <v>0</v>
      </c>
      <c r="CY52" s="151">
        <f t="shared" si="7"/>
        <v>0</v>
      </c>
      <c r="CZ52" s="151">
        <f t="shared" si="7"/>
        <v>371</v>
      </c>
      <c r="DA52" s="151">
        <f t="shared" si="7"/>
        <v>43.06774194</v>
      </c>
      <c r="DB52" s="151">
        <f t="shared" si="7"/>
        <v>1.422580645</v>
      </c>
      <c r="DC52" s="151">
        <f t="shared" si="7"/>
        <v>0.8483870968</v>
      </c>
      <c r="DD52" s="151">
        <f t="shared" si="7"/>
        <v>0.03780645161</v>
      </c>
      <c r="DE52" s="151">
        <f t="shared" si="7"/>
        <v>0.664516129</v>
      </c>
      <c r="DF52" s="151" t="str">
        <f t="shared" si="7"/>
        <v>#DIV/0!</v>
      </c>
      <c r="DG52" s="151">
        <f t="shared" si="7"/>
        <v>0</v>
      </c>
      <c r="DH52" s="151">
        <f t="shared" si="7"/>
        <v>0</v>
      </c>
      <c r="DI52" s="151">
        <f t="shared" si="7"/>
        <v>0</v>
      </c>
      <c r="DJ52" s="151">
        <f t="shared" si="7"/>
        <v>0</v>
      </c>
      <c r="DK52" s="151">
        <f t="shared" si="7"/>
        <v>0</v>
      </c>
      <c r="DL52" s="151">
        <f t="shared" si="7"/>
        <v>0</v>
      </c>
      <c r="DM52" s="151">
        <f t="shared" si="7"/>
        <v>1.658064516</v>
      </c>
      <c r="DN52" s="151">
        <f t="shared" si="7"/>
        <v>319.1677419</v>
      </c>
      <c r="DO52" s="151">
        <f t="shared" si="7"/>
        <v>0.2812903226</v>
      </c>
      <c r="DP52" s="151">
        <f t="shared" si="7"/>
        <v>0</v>
      </c>
      <c r="DQ52" s="151">
        <f t="shared" si="7"/>
        <v>0</v>
      </c>
      <c r="DR52" s="151">
        <f t="shared" si="7"/>
        <v>0</v>
      </c>
      <c r="DS52" s="151">
        <f t="shared" si="7"/>
        <v>0</v>
      </c>
      <c r="DT52" s="151">
        <f t="shared" si="7"/>
        <v>0</v>
      </c>
      <c r="DU52" s="151">
        <f t="shared" si="7"/>
        <v>0</v>
      </c>
      <c r="DV52" s="151">
        <f t="shared" si="7"/>
        <v>0</v>
      </c>
      <c r="DW52" s="151">
        <f t="shared" si="7"/>
        <v>1523.709677</v>
      </c>
      <c r="DX52" s="151">
        <f t="shared" si="7"/>
        <v>1.66336151</v>
      </c>
      <c r="DY52" s="151">
        <f t="shared" si="7"/>
        <v>45</v>
      </c>
      <c r="DZ52" s="151">
        <f t="shared" si="7"/>
        <v>0</v>
      </c>
      <c r="EA52" s="151">
        <f t="shared" si="7"/>
        <v>0</v>
      </c>
      <c r="EB52" s="151">
        <f t="shared" si="7"/>
        <v>0</v>
      </c>
      <c r="EC52" s="151">
        <f t="shared" si="7"/>
        <v>0</v>
      </c>
      <c r="ED52" s="151">
        <f t="shared" si="7"/>
        <v>3.012903226</v>
      </c>
      <c r="EE52" s="151">
        <f t="shared" si="7"/>
        <v>0</v>
      </c>
      <c r="EF52" s="151">
        <f t="shared" si="7"/>
        <v>0</v>
      </c>
      <c r="EG52" s="151">
        <f t="shared" si="7"/>
        <v>0</v>
      </c>
      <c r="EH52" s="151">
        <f t="shared" si="7"/>
        <v>0</v>
      </c>
      <c r="EI52" s="151">
        <f t="shared" si="7"/>
        <v>0</v>
      </c>
      <c r="EJ52" s="151">
        <f t="shared" si="7"/>
        <v>0</v>
      </c>
      <c r="EK52" s="151">
        <f t="shared" si="7"/>
        <v>0</v>
      </c>
      <c r="EL52" s="151">
        <f t="shared" si="7"/>
        <v>0</v>
      </c>
    </row>
    <row r="53" ht="17.25" customHeight="1">
      <c r="A53" s="148">
        <v>45962.0</v>
      </c>
      <c r="B53" s="111">
        <v>0.0</v>
      </c>
      <c r="C53" s="111"/>
      <c r="D53" s="111"/>
      <c r="E53" s="111">
        <v>30.0</v>
      </c>
      <c r="F53" s="111">
        <v>0.0</v>
      </c>
      <c r="G53" s="111">
        <v>0.0</v>
      </c>
      <c r="H53" s="111"/>
      <c r="I53" s="111"/>
      <c r="J53" s="111"/>
      <c r="K53" s="111"/>
      <c r="L53" s="111"/>
      <c r="M53" s="111">
        <v>0.0</v>
      </c>
      <c r="N53" s="111">
        <v>0.0</v>
      </c>
      <c r="O53" s="111">
        <v>0.0</v>
      </c>
      <c r="P53" s="111"/>
      <c r="Q53" s="111">
        <v>0.0</v>
      </c>
      <c r="R53" s="111">
        <v>0.0</v>
      </c>
      <c r="S53" s="111"/>
      <c r="T53" s="111">
        <v>0.0</v>
      </c>
      <c r="U53" s="111">
        <v>0.0</v>
      </c>
      <c r="V53" s="111"/>
      <c r="W53" s="111">
        <v>0.0</v>
      </c>
      <c r="X53" s="111">
        <v>0.0</v>
      </c>
      <c r="Y53" s="111"/>
      <c r="Z53" s="111">
        <v>0.0</v>
      </c>
      <c r="AA53" s="111">
        <v>0.0</v>
      </c>
      <c r="AB53" s="111"/>
      <c r="AC53" s="111">
        <v>0.0</v>
      </c>
      <c r="AD53" s="111">
        <v>0.0</v>
      </c>
      <c r="AE53" s="111"/>
      <c r="AF53" s="111">
        <v>0.0</v>
      </c>
      <c r="AG53" s="111">
        <v>0.0</v>
      </c>
      <c r="AH53" s="111"/>
      <c r="AI53" s="111">
        <v>0.0</v>
      </c>
      <c r="AJ53" s="111">
        <v>0.0</v>
      </c>
      <c r="AK53" s="111">
        <v>0.0</v>
      </c>
      <c r="AL53" s="111">
        <v>0.0</v>
      </c>
      <c r="AM53" s="111">
        <v>0.0</v>
      </c>
      <c r="AN53" s="111">
        <v>0.0</v>
      </c>
      <c r="AO53" s="111">
        <v>0.0</v>
      </c>
      <c r="AP53" s="111">
        <v>0.0</v>
      </c>
      <c r="AQ53" s="111">
        <v>0.0</v>
      </c>
      <c r="AR53" s="111">
        <v>0.0</v>
      </c>
      <c r="AS53" s="111"/>
      <c r="AT53" s="142"/>
      <c r="AU53" s="142"/>
      <c r="AV53" s="111">
        <v>4.0</v>
      </c>
      <c r="AW53" s="111">
        <v>0.0</v>
      </c>
      <c r="AX53" s="111"/>
      <c r="AY53" s="111">
        <v>0.0</v>
      </c>
      <c r="AZ53" s="111">
        <v>0.0</v>
      </c>
      <c r="BA53" s="111">
        <v>0.0</v>
      </c>
      <c r="BB53" s="111">
        <v>0.0</v>
      </c>
      <c r="BC53" s="111">
        <v>0.0</v>
      </c>
      <c r="BD53" s="111">
        <v>0.0</v>
      </c>
      <c r="BE53" s="111">
        <v>0.0</v>
      </c>
      <c r="BF53" s="111"/>
      <c r="BG53" s="111"/>
      <c r="BH53" s="111"/>
      <c r="BI53" s="111"/>
      <c r="BJ53" s="142"/>
      <c r="BK53" s="111"/>
      <c r="BL53" s="111">
        <v>4.0</v>
      </c>
      <c r="BM53" s="111"/>
      <c r="BN53" s="111"/>
      <c r="BO53" s="111">
        <v>0.0</v>
      </c>
      <c r="BP53" s="111">
        <v>0.0</v>
      </c>
      <c r="BQ53" s="111">
        <v>0.0</v>
      </c>
      <c r="BR53" s="111">
        <v>0.0</v>
      </c>
      <c r="BS53" s="111">
        <v>0.0</v>
      </c>
      <c r="BT53" s="111">
        <v>0.0</v>
      </c>
      <c r="BU53" s="111">
        <v>0.0</v>
      </c>
      <c r="BV53" s="111"/>
      <c r="BW53" s="111"/>
      <c r="BX53" s="111"/>
      <c r="BY53" s="111"/>
      <c r="BZ53" s="142"/>
      <c r="CA53" s="111"/>
      <c r="CB53" s="111">
        <v>4.0</v>
      </c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>
        <v>0.0</v>
      </c>
      <c r="CS53" s="111">
        <v>0.0</v>
      </c>
      <c r="CT53" s="111">
        <v>0.0</v>
      </c>
      <c r="CU53" s="111"/>
      <c r="CV53" s="111"/>
      <c r="CW53" s="111"/>
      <c r="CX53" s="111"/>
      <c r="CY53" s="111"/>
      <c r="CZ53" s="111">
        <v>0.0</v>
      </c>
      <c r="DA53" s="111">
        <v>0.0</v>
      </c>
      <c r="DB53" s="111">
        <v>0.0</v>
      </c>
      <c r="DC53" s="111">
        <v>0.0</v>
      </c>
      <c r="DD53" s="111">
        <v>0.0</v>
      </c>
      <c r="DE53" s="111">
        <v>0.0</v>
      </c>
      <c r="DF53" s="111" t="str">
        <f t="shared" ref="DF53:DF82" si="8">(CZ53/CR53)*100</f>
        <v>#DIV/0!</v>
      </c>
      <c r="DG53" s="111"/>
      <c r="DH53" s="111"/>
      <c r="DI53" s="111"/>
      <c r="DJ53" s="111"/>
      <c r="DK53" s="111"/>
      <c r="DL53" s="111"/>
      <c r="DM53" s="111">
        <v>0.0</v>
      </c>
      <c r="DN53" s="149">
        <f>DN50-DO51</f>
        <v>327.48</v>
      </c>
      <c r="DO53" s="149">
        <v>0.0</v>
      </c>
      <c r="DP53" s="111"/>
      <c r="DQ53" s="111"/>
      <c r="DR53" s="111"/>
      <c r="DS53" s="111"/>
      <c r="DT53" s="111"/>
      <c r="DU53" s="111"/>
      <c r="DV53" s="111"/>
      <c r="DW53" s="111">
        <v>480.0</v>
      </c>
      <c r="DX53" s="146">
        <v>0.0</v>
      </c>
      <c r="DY53" s="111">
        <v>45.0</v>
      </c>
      <c r="DZ53" s="111"/>
      <c r="EA53" s="111"/>
      <c r="EB53" s="111"/>
      <c r="EC53" s="111"/>
      <c r="ED53" s="111">
        <v>0.0</v>
      </c>
      <c r="EE53" s="111"/>
      <c r="EF53" s="111"/>
      <c r="EG53" s="111"/>
      <c r="EH53" s="111"/>
      <c r="EI53" s="111"/>
      <c r="EJ53" s="111"/>
      <c r="EK53" s="147"/>
      <c r="EL53" s="111"/>
    </row>
    <row r="54" ht="17.25" customHeight="1">
      <c r="A54" s="148">
        <v>45963.0</v>
      </c>
      <c r="B54" s="111">
        <v>0.0</v>
      </c>
      <c r="C54" s="111"/>
      <c r="D54" s="111"/>
      <c r="E54" s="111">
        <v>30.0</v>
      </c>
      <c r="F54" s="111">
        <v>0.0</v>
      </c>
      <c r="G54" s="111">
        <v>0.0</v>
      </c>
      <c r="H54" s="111"/>
      <c r="I54" s="111"/>
      <c r="J54" s="111"/>
      <c r="K54" s="111"/>
      <c r="L54" s="111"/>
      <c r="M54" s="111">
        <v>0.0</v>
      </c>
      <c r="N54" s="111">
        <v>0.0</v>
      </c>
      <c r="O54" s="111">
        <v>0.0</v>
      </c>
      <c r="P54" s="111"/>
      <c r="Q54" s="111">
        <v>0.0</v>
      </c>
      <c r="R54" s="111">
        <v>0.0</v>
      </c>
      <c r="S54" s="111"/>
      <c r="T54" s="111">
        <v>0.0</v>
      </c>
      <c r="U54" s="111">
        <v>0.0</v>
      </c>
      <c r="V54" s="111"/>
      <c r="W54" s="111">
        <v>0.0</v>
      </c>
      <c r="X54" s="111">
        <v>0.0</v>
      </c>
      <c r="Y54" s="111"/>
      <c r="Z54" s="111">
        <v>0.0</v>
      </c>
      <c r="AA54" s="111">
        <v>0.0</v>
      </c>
      <c r="AB54" s="111"/>
      <c r="AC54" s="111">
        <v>0.0</v>
      </c>
      <c r="AD54" s="111">
        <v>0.0</v>
      </c>
      <c r="AE54" s="111"/>
      <c r="AF54" s="111">
        <v>0.0</v>
      </c>
      <c r="AG54" s="111">
        <v>0.0</v>
      </c>
      <c r="AH54" s="111"/>
      <c r="AI54" s="111">
        <v>0.0</v>
      </c>
      <c r="AJ54" s="111">
        <v>0.0</v>
      </c>
      <c r="AK54" s="111">
        <v>0.0</v>
      </c>
      <c r="AL54" s="111">
        <v>0.0</v>
      </c>
      <c r="AM54" s="111">
        <v>0.0</v>
      </c>
      <c r="AN54" s="111">
        <v>0.0</v>
      </c>
      <c r="AO54" s="111">
        <v>0.0</v>
      </c>
      <c r="AP54" s="111">
        <v>0.0</v>
      </c>
      <c r="AQ54" s="111">
        <v>0.0</v>
      </c>
      <c r="AR54" s="111">
        <v>0.0</v>
      </c>
      <c r="AS54" s="111"/>
      <c r="AT54" s="142"/>
      <c r="AU54" s="142"/>
      <c r="AV54" s="111">
        <v>4.0</v>
      </c>
      <c r="AW54" s="111">
        <v>0.0</v>
      </c>
      <c r="AX54" s="111"/>
      <c r="AY54" s="111">
        <v>0.0</v>
      </c>
      <c r="AZ54" s="111">
        <v>0.0</v>
      </c>
      <c r="BA54" s="111">
        <v>0.0</v>
      </c>
      <c r="BB54" s="111">
        <v>0.0</v>
      </c>
      <c r="BC54" s="111">
        <v>0.0</v>
      </c>
      <c r="BD54" s="111">
        <v>0.0</v>
      </c>
      <c r="BE54" s="111">
        <v>0.0</v>
      </c>
      <c r="BF54" s="111"/>
      <c r="BG54" s="111"/>
      <c r="BH54" s="111"/>
      <c r="BI54" s="111"/>
      <c r="BJ54" s="142"/>
      <c r="BK54" s="111"/>
      <c r="BL54" s="111">
        <v>4.0</v>
      </c>
      <c r="BM54" s="111"/>
      <c r="BN54" s="111"/>
      <c r="BO54" s="111">
        <v>0.0</v>
      </c>
      <c r="BP54" s="111">
        <v>0.0</v>
      </c>
      <c r="BQ54" s="111">
        <v>0.0</v>
      </c>
      <c r="BR54" s="111">
        <v>0.0</v>
      </c>
      <c r="BS54" s="111">
        <v>0.0</v>
      </c>
      <c r="BT54" s="111">
        <v>0.0</v>
      </c>
      <c r="BU54" s="111">
        <v>0.0</v>
      </c>
      <c r="BV54" s="111"/>
      <c r="BW54" s="111"/>
      <c r="BX54" s="111"/>
      <c r="BY54" s="111"/>
      <c r="BZ54" s="142"/>
      <c r="CA54" s="111"/>
      <c r="CB54" s="111">
        <v>4.0</v>
      </c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>
        <v>0.0</v>
      </c>
      <c r="CS54" s="111">
        <v>0.0</v>
      </c>
      <c r="CT54" s="111">
        <v>0.0</v>
      </c>
      <c r="CU54" s="111"/>
      <c r="CV54" s="111"/>
      <c r="CW54" s="111"/>
      <c r="CX54" s="111"/>
      <c r="CY54" s="111"/>
      <c r="CZ54" s="111">
        <v>0.0</v>
      </c>
      <c r="DA54" s="111">
        <v>0.0</v>
      </c>
      <c r="DB54" s="111">
        <v>0.0</v>
      </c>
      <c r="DC54" s="111">
        <v>0.0</v>
      </c>
      <c r="DD54" s="111">
        <v>0.0</v>
      </c>
      <c r="DE54" s="111">
        <v>0.0</v>
      </c>
      <c r="DF54" s="111" t="str">
        <f t="shared" si="8"/>
        <v>#DIV/0!</v>
      </c>
      <c r="DG54" s="111"/>
      <c r="DH54" s="111"/>
      <c r="DI54" s="111"/>
      <c r="DJ54" s="111"/>
      <c r="DK54" s="111"/>
      <c r="DL54" s="111"/>
      <c r="DM54" s="111">
        <v>0.0</v>
      </c>
      <c r="DN54" s="149">
        <f>DN53+DM54</f>
        <v>327.48</v>
      </c>
      <c r="DO54" s="149">
        <v>0.0</v>
      </c>
      <c r="DP54" s="111"/>
      <c r="DQ54" s="111"/>
      <c r="DR54" s="111"/>
      <c r="DS54" s="111"/>
      <c r="DT54" s="111"/>
      <c r="DU54" s="111"/>
      <c r="DV54" s="111"/>
      <c r="DW54" s="111">
        <v>705.0</v>
      </c>
      <c r="DX54" s="146">
        <v>0.0</v>
      </c>
      <c r="DY54" s="111">
        <v>45.0</v>
      </c>
      <c r="DZ54" s="111"/>
      <c r="EA54" s="111"/>
      <c r="EB54" s="111"/>
      <c r="EC54" s="111"/>
      <c r="ED54" s="111">
        <v>0.0</v>
      </c>
      <c r="EE54" s="111"/>
      <c r="EF54" s="111"/>
      <c r="EG54" s="111"/>
      <c r="EH54" s="111"/>
      <c r="EI54" s="111"/>
      <c r="EJ54" s="111"/>
      <c r="EK54" s="147"/>
      <c r="EL54" s="111"/>
    </row>
    <row r="55" ht="17.25" customHeight="1">
      <c r="A55" s="148">
        <v>45964.0</v>
      </c>
      <c r="B55" s="111">
        <v>0.0</v>
      </c>
      <c r="C55" s="111"/>
      <c r="D55" s="111"/>
      <c r="E55" s="111">
        <v>30.0</v>
      </c>
      <c r="F55" s="111">
        <v>26.53</v>
      </c>
      <c r="G55" s="111">
        <v>75.38</v>
      </c>
      <c r="H55" s="111"/>
      <c r="I55" s="111"/>
      <c r="J55" s="111"/>
      <c r="K55" s="111"/>
      <c r="L55" s="111"/>
      <c r="M55" s="111">
        <v>11.68</v>
      </c>
      <c r="N55" s="111">
        <v>66.01</v>
      </c>
      <c r="O55" s="111">
        <v>6.07</v>
      </c>
      <c r="P55" s="111"/>
      <c r="Q55" s="111">
        <v>11.68</v>
      </c>
      <c r="R55" s="111">
        <v>66.01</v>
      </c>
      <c r="S55" s="111"/>
      <c r="T55" s="111">
        <v>9.52</v>
      </c>
      <c r="U55" s="111">
        <v>53.67</v>
      </c>
      <c r="V55" s="111"/>
      <c r="W55" s="111"/>
      <c r="X55" s="111"/>
      <c r="Y55" s="111"/>
      <c r="Z55" s="111">
        <v>9.89</v>
      </c>
      <c r="AA55" s="111">
        <v>52.27</v>
      </c>
      <c r="AB55" s="111"/>
      <c r="AC55" s="111">
        <v>0.0</v>
      </c>
      <c r="AD55" s="111">
        <v>0.0</v>
      </c>
      <c r="AE55" s="111"/>
      <c r="AF55" s="111">
        <v>0.0</v>
      </c>
      <c r="AG55" s="111">
        <v>0.0</v>
      </c>
      <c r="AH55" s="111"/>
      <c r="AI55" s="111">
        <v>0.0</v>
      </c>
      <c r="AJ55" s="111">
        <v>0.0</v>
      </c>
      <c r="AK55" s="111">
        <v>0.0</v>
      </c>
      <c r="AL55" s="111">
        <v>0.0</v>
      </c>
      <c r="AM55" s="111">
        <v>0.0</v>
      </c>
      <c r="AN55" s="111">
        <v>0.0</v>
      </c>
      <c r="AO55" s="111">
        <v>0.0</v>
      </c>
      <c r="AP55" s="111">
        <v>0.0</v>
      </c>
      <c r="AQ55" s="111">
        <v>0.0</v>
      </c>
      <c r="AR55" s="111">
        <v>0.0</v>
      </c>
      <c r="AS55" s="111"/>
      <c r="AT55" s="142"/>
      <c r="AU55" s="142"/>
      <c r="AV55" s="111">
        <v>4.0</v>
      </c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42"/>
      <c r="BK55" s="111"/>
      <c r="BL55" s="111">
        <v>4.0</v>
      </c>
      <c r="BM55" s="111"/>
      <c r="BN55" s="111"/>
      <c r="BO55" s="111">
        <v>0.0</v>
      </c>
      <c r="BP55" s="111">
        <v>0.0</v>
      </c>
      <c r="BQ55" s="111">
        <v>0.0</v>
      </c>
      <c r="BR55" s="111">
        <v>0.0</v>
      </c>
      <c r="BS55" s="111">
        <v>0.0</v>
      </c>
      <c r="BT55" s="111">
        <v>0.0</v>
      </c>
      <c r="BU55" s="111">
        <v>0.0</v>
      </c>
      <c r="BV55" s="111"/>
      <c r="BW55" s="111"/>
      <c r="BX55" s="111"/>
      <c r="BY55" s="111"/>
      <c r="BZ55" s="142"/>
      <c r="CA55" s="111"/>
      <c r="CB55" s="111">
        <v>4.0</v>
      </c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>
        <v>0.0</v>
      </c>
      <c r="CS55" s="111">
        <v>0.0</v>
      </c>
      <c r="CT55" s="111">
        <v>0.0</v>
      </c>
      <c r="CU55" s="111"/>
      <c r="CV55" s="111"/>
      <c r="CW55" s="111"/>
      <c r="CX55" s="111"/>
      <c r="CY55" s="111"/>
      <c r="CZ55" s="111">
        <v>0.0</v>
      </c>
      <c r="DA55" s="111">
        <v>0.0</v>
      </c>
      <c r="DB55" s="111">
        <v>0.0</v>
      </c>
      <c r="DC55" s="111">
        <v>0.0</v>
      </c>
      <c r="DD55" s="111">
        <v>0.0</v>
      </c>
      <c r="DE55" s="111">
        <v>0.0</v>
      </c>
      <c r="DF55" s="111" t="str">
        <f t="shared" si="8"/>
        <v>#DIV/0!</v>
      </c>
      <c r="DG55" s="111"/>
      <c r="DH55" s="111"/>
      <c r="DI55" s="111"/>
      <c r="DJ55" s="111"/>
      <c r="DK55" s="111"/>
      <c r="DL55" s="111"/>
      <c r="DM55" s="111">
        <v>2.0</v>
      </c>
      <c r="DN55" s="149">
        <f t="shared" ref="DN55:DN82" si="9">(DN54+DM55)-DO54</f>
        <v>329.48</v>
      </c>
      <c r="DO55" s="149">
        <v>0.0</v>
      </c>
      <c r="DP55" s="111"/>
      <c r="DQ55" s="111"/>
      <c r="DR55" s="111"/>
      <c r="DS55" s="111"/>
      <c r="DT55" s="111"/>
      <c r="DU55" s="111"/>
      <c r="DV55" s="111"/>
      <c r="DW55" s="111">
        <v>915.0</v>
      </c>
      <c r="DX55" s="146">
        <v>0.0</v>
      </c>
      <c r="DY55" s="111">
        <v>45.0</v>
      </c>
      <c r="DZ55" s="111"/>
      <c r="EA55" s="111"/>
      <c r="EB55" s="111"/>
      <c r="EC55" s="111"/>
      <c r="ED55" s="111">
        <v>0.0</v>
      </c>
      <c r="EE55" s="111"/>
      <c r="EF55" s="111"/>
      <c r="EG55" s="111"/>
      <c r="EH55" s="111"/>
      <c r="EI55" s="111"/>
      <c r="EJ55" s="111"/>
      <c r="EK55" s="147"/>
      <c r="EL55" s="111"/>
    </row>
    <row r="56" ht="17.25" customHeight="1">
      <c r="A56" s="148">
        <v>45965.0</v>
      </c>
      <c r="B56" s="111">
        <v>0.0</v>
      </c>
      <c r="C56" s="111"/>
      <c r="D56" s="111"/>
      <c r="E56" s="111">
        <v>20.0</v>
      </c>
      <c r="F56" s="111">
        <v>0.0</v>
      </c>
      <c r="G56" s="111">
        <v>0.0</v>
      </c>
      <c r="H56" s="111"/>
      <c r="I56" s="111"/>
      <c r="J56" s="111"/>
      <c r="K56" s="111"/>
      <c r="L56" s="111"/>
      <c r="M56" s="111">
        <v>0.0</v>
      </c>
      <c r="N56" s="111">
        <v>0.0</v>
      </c>
      <c r="O56" s="111">
        <v>0.0</v>
      </c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>
        <v>0.0</v>
      </c>
      <c r="AD56" s="111">
        <v>0.0</v>
      </c>
      <c r="AE56" s="111"/>
      <c r="AF56" s="111">
        <v>0.0</v>
      </c>
      <c r="AG56" s="111">
        <v>0.0</v>
      </c>
      <c r="AH56" s="111"/>
      <c r="AI56" s="111">
        <v>0.0</v>
      </c>
      <c r="AJ56" s="111">
        <v>0.0</v>
      </c>
      <c r="AK56" s="111">
        <v>0.0</v>
      </c>
      <c r="AL56" s="111">
        <v>0.0</v>
      </c>
      <c r="AM56" s="111">
        <v>0.0</v>
      </c>
      <c r="AN56" s="111">
        <v>0.0</v>
      </c>
      <c r="AO56" s="111">
        <v>0.0</v>
      </c>
      <c r="AP56" s="111">
        <v>0.0</v>
      </c>
      <c r="AQ56" s="111">
        <v>0.0</v>
      </c>
      <c r="AR56" s="111">
        <v>0.0</v>
      </c>
      <c r="AS56" s="111"/>
      <c r="AT56" s="142"/>
      <c r="AU56" s="142"/>
      <c r="AV56" s="111">
        <v>4.0</v>
      </c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42"/>
      <c r="BK56" s="111"/>
      <c r="BL56" s="111">
        <v>4.0</v>
      </c>
      <c r="BM56" s="111"/>
      <c r="BN56" s="111"/>
      <c r="BO56" s="111">
        <v>0.0</v>
      </c>
      <c r="BP56" s="111">
        <v>0.0</v>
      </c>
      <c r="BQ56" s="111">
        <v>0.0</v>
      </c>
      <c r="BR56" s="111">
        <v>0.0</v>
      </c>
      <c r="BS56" s="111">
        <v>0.0</v>
      </c>
      <c r="BT56" s="111">
        <v>0.0</v>
      </c>
      <c r="BU56" s="111">
        <v>0.0</v>
      </c>
      <c r="BV56" s="111"/>
      <c r="BW56" s="111"/>
      <c r="BX56" s="111"/>
      <c r="BY56" s="111"/>
      <c r="BZ56" s="142"/>
      <c r="CA56" s="111"/>
      <c r="CB56" s="111">
        <v>4.0</v>
      </c>
      <c r="CC56" s="111"/>
      <c r="CD56" s="111"/>
      <c r="CE56" s="111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11">
        <v>0.0</v>
      </c>
      <c r="CS56" s="111">
        <v>0.0</v>
      </c>
      <c r="CT56" s="111">
        <v>0.0</v>
      </c>
      <c r="CU56" s="111"/>
      <c r="CV56" s="111"/>
      <c r="CW56" s="111"/>
      <c r="CX56" s="111"/>
      <c r="CY56" s="111"/>
      <c r="CZ56" s="111">
        <v>0.0</v>
      </c>
      <c r="DA56" s="111">
        <v>0.0</v>
      </c>
      <c r="DB56" s="111">
        <v>0.0</v>
      </c>
      <c r="DC56" s="111">
        <v>0.0</v>
      </c>
      <c r="DD56" s="111">
        <v>0.0</v>
      </c>
      <c r="DE56" s="111">
        <v>0.0</v>
      </c>
      <c r="DF56" s="111" t="str">
        <f t="shared" si="8"/>
        <v>#DIV/0!</v>
      </c>
      <c r="DG56" s="111"/>
      <c r="DH56" s="111"/>
      <c r="DI56" s="111"/>
      <c r="DJ56" s="111"/>
      <c r="DK56" s="111"/>
      <c r="DL56" s="111"/>
      <c r="DM56" s="111">
        <v>0.0</v>
      </c>
      <c r="DN56" s="149">
        <f t="shared" si="9"/>
        <v>329.48</v>
      </c>
      <c r="DO56" s="149">
        <v>15.0</v>
      </c>
      <c r="DP56" s="111"/>
      <c r="DQ56" s="111"/>
      <c r="DR56" s="111"/>
      <c r="DS56" s="111"/>
      <c r="DT56" s="111"/>
      <c r="DU56" s="111"/>
      <c r="DV56" s="111"/>
      <c r="DW56" s="111">
        <v>870.0</v>
      </c>
      <c r="DX56" s="146">
        <v>0.0</v>
      </c>
      <c r="DY56" s="111">
        <v>45.0</v>
      </c>
      <c r="DZ56" s="111"/>
      <c r="EA56" s="111"/>
      <c r="EB56" s="111"/>
      <c r="EC56" s="111"/>
      <c r="ED56" s="111">
        <v>0.0</v>
      </c>
      <c r="EE56" s="111"/>
      <c r="EF56" s="111"/>
      <c r="EG56" s="111"/>
      <c r="EH56" s="111"/>
      <c r="EI56" s="111"/>
      <c r="EJ56" s="111"/>
      <c r="EK56" s="147"/>
      <c r="EL56" s="111"/>
    </row>
    <row r="57" ht="17.25" customHeight="1">
      <c r="A57" s="148">
        <v>45966.0</v>
      </c>
      <c r="B57" s="111">
        <v>0.0</v>
      </c>
      <c r="C57" s="111"/>
      <c r="D57" s="111"/>
      <c r="E57" s="111">
        <v>30.0</v>
      </c>
      <c r="F57" s="111">
        <v>0.0</v>
      </c>
      <c r="G57" s="111">
        <v>0.0</v>
      </c>
      <c r="H57" s="111"/>
      <c r="I57" s="111"/>
      <c r="J57" s="111"/>
      <c r="K57" s="111"/>
      <c r="L57" s="111"/>
      <c r="M57" s="111">
        <v>0.0</v>
      </c>
      <c r="N57" s="111">
        <v>0.0</v>
      </c>
      <c r="O57" s="111">
        <v>0.0</v>
      </c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>
        <v>0.0</v>
      </c>
      <c r="AD57" s="111">
        <v>0.0</v>
      </c>
      <c r="AE57" s="111"/>
      <c r="AF57" s="111">
        <v>0.0</v>
      </c>
      <c r="AG57" s="111">
        <v>0.0</v>
      </c>
      <c r="AH57" s="111"/>
      <c r="AI57" s="111">
        <v>0.0</v>
      </c>
      <c r="AJ57" s="111">
        <v>0.0</v>
      </c>
      <c r="AK57" s="111">
        <v>0.0</v>
      </c>
      <c r="AL57" s="111">
        <v>0.0</v>
      </c>
      <c r="AM57" s="111">
        <v>0.0</v>
      </c>
      <c r="AN57" s="111">
        <v>0.0</v>
      </c>
      <c r="AO57" s="111">
        <v>0.0</v>
      </c>
      <c r="AP57" s="111">
        <v>0.0</v>
      </c>
      <c r="AQ57" s="111">
        <v>0.0</v>
      </c>
      <c r="AR57" s="111">
        <v>0.0</v>
      </c>
      <c r="AS57" s="111"/>
      <c r="AT57" s="142"/>
      <c r="AU57" s="142"/>
      <c r="AV57" s="111">
        <v>4.0</v>
      </c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42"/>
      <c r="BK57" s="111"/>
      <c r="BL57" s="111">
        <v>4.0</v>
      </c>
      <c r="BM57" s="111"/>
      <c r="BN57" s="111"/>
      <c r="BO57" s="111">
        <v>0.0</v>
      </c>
      <c r="BP57" s="111">
        <v>0.0</v>
      </c>
      <c r="BQ57" s="111">
        <v>0.0</v>
      </c>
      <c r="BR57" s="111">
        <v>0.0</v>
      </c>
      <c r="BS57" s="111">
        <v>0.0</v>
      </c>
      <c r="BT57" s="111">
        <v>0.0</v>
      </c>
      <c r="BU57" s="111">
        <v>0.0</v>
      </c>
      <c r="BV57" s="111"/>
      <c r="BW57" s="111"/>
      <c r="BX57" s="111"/>
      <c r="BY57" s="111"/>
      <c r="BZ57" s="142"/>
      <c r="CA57" s="111"/>
      <c r="CB57" s="111">
        <v>4.0</v>
      </c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11">
        <v>0.0</v>
      </c>
      <c r="CS57" s="111">
        <v>0.0</v>
      </c>
      <c r="CT57" s="111">
        <v>0.0</v>
      </c>
      <c r="CU57" s="111"/>
      <c r="CV57" s="111"/>
      <c r="CW57" s="111"/>
      <c r="CX57" s="111"/>
      <c r="CY57" s="111"/>
      <c r="CZ57" s="111">
        <v>0.0</v>
      </c>
      <c r="DA57" s="111">
        <v>0.0</v>
      </c>
      <c r="DB57" s="111">
        <v>0.0</v>
      </c>
      <c r="DC57" s="111">
        <v>0.0</v>
      </c>
      <c r="DD57" s="111">
        <v>0.0</v>
      </c>
      <c r="DE57" s="111">
        <v>0.0</v>
      </c>
      <c r="DF57" s="111" t="str">
        <f t="shared" si="8"/>
        <v>#DIV/0!</v>
      </c>
      <c r="DG57" s="111"/>
      <c r="DH57" s="111"/>
      <c r="DI57" s="111"/>
      <c r="DJ57" s="111"/>
      <c r="DK57" s="111"/>
      <c r="DL57" s="111"/>
      <c r="DM57" s="111">
        <v>4.0</v>
      </c>
      <c r="DN57" s="149">
        <f t="shared" si="9"/>
        <v>318.48</v>
      </c>
      <c r="DO57" s="149">
        <v>0.0</v>
      </c>
      <c r="DP57" s="111"/>
      <c r="DQ57" s="111"/>
      <c r="DR57" s="111"/>
      <c r="DS57" s="111"/>
      <c r="DT57" s="111"/>
      <c r="DU57" s="111"/>
      <c r="DV57" s="111"/>
      <c r="DW57" s="111">
        <v>1035.0</v>
      </c>
      <c r="DX57" s="146">
        <v>0.0</v>
      </c>
      <c r="DY57" s="111">
        <v>45.0</v>
      </c>
      <c r="DZ57" s="111"/>
      <c r="EA57" s="111"/>
      <c r="EB57" s="111"/>
      <c r="EC57" s="111"/>
      <c r="ED57" s="111">
        <v>0.0</v>
      </c>
      <c r="EE57" s="111"/>
      <c r="EF57" s="111"/>
      <c r="EG57" s="111"/>
      <c r="EH57" s="111"/>
      <c r="EI57" s="111"/>
      <c r="EJ57" s="111"/>
      <c r="EK57" s="147"/>
      <c r="EL57" s="111"/>
    </row>
    <row r="58" ht="17.25" customHeight="1">
      <c r="A58" s="148">
        <v>45967.0</v>
      </c>
      <c r="B58" s="111">
        <v>0.0</v>
      </c>
      <c r="C58" s="111"/>
      <c r="D58" s="111"/>
      <c r="E58" s="111">
        <v>20.0</v>
      </c>
      <c r="F58" s="111">
        <v>0.0</v>
      </c>
      <c r="G58" s="111">
        <v>0.0</v>
      </c>
      <c r="H58" s="111"/>
      <c r="I58" s="111"/>
      <c r="J58" s="111"/>
      <c r="K58" s="111"/>
      <c r="L58" s="111"/>
      <c r="M58" s="111">
        <v>0.0</v>
      </c>
      <c r="N58" s="111">
        <v>0.0</v>
      </c>
      <c r="O58" s="111">
        <v>0.0</v>
      </c>
      <c r="P58" s="111"/>
      <c r="Q58" s="111">
        <v>12.66</v>
      </c>
      <c r="R58" s="111">
        <v>68.08</v>
      </c>
      <c r="S58" s="111"/>
      <c r="T58" s="111">
        <v>9.47</v>
      </c>
      <c r="U58" s="111">
        <v>54.38</v>
      </c>
      <c r="V58" s="111"/>
      <c r="W58" s="111">
        <v>12.66</v>
      </c>
      <c r="X58" s="111">
        <v>68.08</v>
      </c>
      <c r="Y58" s="111"/>
      <c r="Z58" s="111">
        <v>9.67</v>
      </c>
      <c r="AA58" s="111">
        <v>53.05</v>
      </c>
      <c r="AB58" s="111"/>
      <c r="AC58" s="111">
        <v>0.0</v>
      </c>
      <c r="AD58" s="111">
        <v>0.0</v>
      </c>
      <c r="AE58" s="111"/>
      <c r="AF58" s="111">
        <v>0.0</v>
      </c>
      <c r="AG58" s="111">
        <v>0.0</v>
      </c>
      <c r="AH58" s="111"/>
      <c r="AI58" s="111"/>
      <c r="AJ58" s="111"/>
      <c r="AK58" s="111"/>
      <c r="AL58" s="111">
        <v>5.15</v>
      </c>
      <c r="AM58" s="111"/>
      <c r="AN58" s="111">
        <v>7.1</v>
      </c>
      <c r="AO58" s="111">
        <v>31.0</v>
      </c>
      <c r="AP58" s="111">
        <v>0.0</v>
      </c>
      <c r="AQ58" s="111">
        <v>0.0</v>
      </c>
      <c r="AR58" s="111">
        <v>0.0</v>
      </c>
      <c r="AS58" s="111"/>
      <c r="AT58" s="142"/>
      <c r="AU58" s="142"/>
      <c r="AV58" s="111">
        <v>4.0</v>
      </c>
      <c r="AW58" s="111"/>
      <c r="AX58" s="111"/>
      <c r="AY58" s="111"/>
      <c r="AZ58" s="111"/>
      <c r="BA58" s="111"/>
      <c r="BB58" s="111">
        <v>5.13</v>
      </c>
      <c r="BC58" s="111"/>
      <c r="BD58" s="111">
        <v>7.08</v>
      </c>
      <c r="BE58" s="111">
        <v>30.0</v>
      </c>
      <c r="BF58" s="111"/>
      <c r="BG58" s="111"/>
      <c r="BH58" s="111"/>
      <c r="BI58" s="111"/>
      <c r="BJ58" s="142"/>
      <c r="BK58" s="111"/>
      <c r="BL58" s="111">
        <v>4.0</v>
      </c>
      <c r="BM58" s="111"/>
      <c r="BN58" s="111"/>
      <c r="BO58" s="111">
        <v>0.0</v>
      </c>
      <c r="BP58" s="111">
        <v>0.0</v>
      </c>
      <c r="BQ58" s="111">
        <v>0.0</v>
      </c>
      <c r="BR58" s="111">
        <v>0.0</v>
      </c>
      <c r="BS58" s="111">
        <v>0.0</v>
      </c>
      <c r="BT58" s="111">
        <v>0.0</v>
      </c>
      <c r="BU58" s="111">
        <v>0.0</v>
      </c>
      <c r="BV58" s="111"/>
      <c r="BW58" s="111"/>
      <c r="BX58" s="111"/>
      <c r="BY58" s="111"/>
      <c r="BZ58" s="142"/>
      <c r="CA58" s="111"/>
      <c r="CB58" s="111">
        <v>4.0</v>
      </c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>
        <v>0.0</v>
      </c>
      <c r="CS58" s="111">
        <v>0.0</v>
      </c>
      <c r="CT58" s="111">
        <v>0.0</v>
      </c>
      <c r="CU58" s="111"/>
      <c r="CV58" s="111"/>
      <c r="CW58" s="111"/>
      <c r="CX58" s="111"/>
      <c r="CY58" s="111"/>
      <c r="CZ58" s="111">
        <v>0.0</v>
      </c>
      <c r="DA58" s="111">
        <v>0.0</v>
      </c>
      <c r="DB58" s="111">
        <v>0.0</v>
      </c>
      <c r="DC58" s="111">
        <v>0.0</v>
      </c>
      <c r="DD58" s="111">
        <v>0.0</v>
      </c>
      <c r="DE58" s="111">
        <v>0.0</v>
      </c>
      <c r="DF58" s="111" t="str">
        <f t="shared" si="8"/>
        <v>#DIV/0!</v>
      </c>
      <c r="DG58" s="111"/>
      <c r="DH58" s="111"/>
      <c r="DI58" s="111"/>
      <c r="DJ58" s="111"/>
      <c r="DK58" s="111"/>
      <c r="DL58" s="111"/>
      <c r="DM58" s="111">
        <v>0.0</v>
      </c>
      <c r="DN58" s="149">
        <f t="shared" si="9"/>
        <v>318.48</v>
      </c>
      <c r="DO58" s="149">
        <v>0.0</v>
      </c>
      <c r="DP58" s="111"/>
      <c r="DQ58" s="111"/>
      <c r="DR58" s="111"/>
      <c r="DS58" s="111"/>
      <c r="DT58" s="111"/>
      <c r="DU58" s="111"/>
      <c r="DV58" s="111"/>
      <c r="DW58" s="111">
        <v>810.0</v>
      </c>
      <c r="DX58" s="146">
        <v>0.0</v>
      </c>
      <c r="DY58" s="111">
        <v>45.0</v>
      </c>
      <c r="DZ58" s="111"/>
      <c r="EA58" s="111"/>
      <c r="EB58" s="111"/>
      <c r="EC58" s="111"/>
      <c r="ED58" s="111">
        <v>0.0</v>
      </c>
      <c r="EE58" s="111"/>
      <c r="EF58" s="111"/>
      <c r="EG58" s="111"/>
      <c r="EH58" s="111"/>
      <c r="EI58" s="111"/>
      <c r="EJ58" s="111"/>
      <c r="EK58" s="147"/>
      <c r="EL58" s="111"/>
    </row>
    <row r="59" ht="17.25" customHeight="1">
      <c r="A59" s="148">
        <v>45968.0</v>
      </c>
      <c r="B59" s="111">
        <v>0.0</v>
      </c>
      <c r="C59" s="111"/>
      <c r="D59" s="111"/>
      <c r="E59" s="111">
        <v>35.0</v>
      </c>
      <c r="F59" s="111">
        <v>0.0</v>
      </c>
      <c r="G59" s="111">
        <v>0.0</v>
      </c>
      <c r="H59" s="111"/>
      <c r="I59" s="111"/>
      <c r="J59" s="111"/>
      <c r="K59" s="111"/>
      <c r="L59" s="111"/>
      <c r="M59" s="111">
        <v>0.0</v>
      </c>
      <c r="N59" s="111">
        <v>0.0</v>
      </c>
      <c r="O59" s="111">
        <v>0.0</v>
      </c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>
        <v>0.0</v>
      </c>
      <c r="AD59" s="111">
        <v>0.0</v>
      </c>
      <c r="AE59" s="111"/>
      <c r="AF59" s="111">
        <v>0.0</v>
      </c>
      <c r="AG59" s="111">
        <v>0.0</v>
      </c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42"/>
      <c r="AU59" s="142"/>
      <c r="AV59" s="111">
        <v>4.0</v>
      </c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42"/>
      <c r="BK59" s="111"/>
      <c r="BL59" s="111">
        <v>4.0</v>
      </c>
      <c r="BM59" s="111"/>
      <c r="BN59" s="111"/>
      <c r="BO59" s="111">
        <v>0.0</v>
      </c>
      <c r="BP59" s="111">
        <v>0.0</v>
      </c>
      <c r="BQ59" s="111">
        <v>0.0</v>
      </c>
      <c r="BR59" s="111">
        <v>0.0</v>
      </c>
      <c r="BS59" s="111">
        <v>0.0</v>
      </c>
      <c r="BT59" s="111">
        <v>0.0</v>
      </c>
      <c r="BU59" s="111">
        <v>0.0</v>
      </c>
      <c r="BV59" s="111"/>
      <c r="BW59" s="111"/>
      <c r="BX59" s="111"/>
      <c r="BY59" s="111"/>
      <c r="BZ59" s="142"/>
      <c r="CA59" s="111"/>
      <c r="CB59" s="111">
        <v>4.0</v>
      </c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>
        <v>0.0</v>
      </c>
      <c r="CS59" s="111">
        <v>0.0</v>
      </c>
      <c r="CT59" s="111">
        <v>0.0</v>
      </c>
      <c r="CU59" s="111"/>
      <c r="CV59" s="111"/>
      <c r="CW59" s="111"/>
      <c r="CX59" s="111"/>
      <c r="CY59" s="111"/>
      <c r="CZ59" s="111">
        <v>0.0</v>
      </c>
      <c r="DA59" s="111">
        <v>0.0</v>
      </c>
      <c r="DB59" s="111">
        <v>0.0</v>
      </c>
      <c r="DC59" s="111">
        <v>0.0</v>
      </c>
      <c r="DD59" s="111">
        <v>0.0</v>
      </c>
      <c r="DE59" s="111">
        <v>0.0</v>
      </c>
      <c r="DF59" s="111" t="str">
        <f t="shared" si="8"/>
        <v>#DIV/0!</v>
      </c>
      <c r="DG59" s="111"/>
      <c r="DH59" s="111"/>
      <c r="DI59" s="111"/>
      <c r="DJ59" s="111"/>
      <c r="DK59" s="111"/>
      <c r="DL59" s="111"/>
      <c r="DM59" s="111">
        <v>0.0</v>
      </c>
      <c r="DN59" s="149">
        <f t="shared" si="9"/>
        <v>318.48</v>
      </c>
      <c r="DO59" s="149">
        <v>0.0</v>
      </c>
      <c r="DP59" s="111"/>
      <c r="DQ59" s="111"/>
      <c r="DR59" s="111"/>
      <c r="DS59" s="111"/>
      <c r="DT59" s="111"/>
      <c r="DU59" s="111"/>
      <c r="DV59" s="111"/>
      <c r="DW59" s="111">
        <v>765.0</v>
      </c>
      <c r="DX59" s="146">
        <v>0.0</v>
      </c>
      <c r="DY59" s="111">
        <v>45.0</v>
      </c>
      <c r="DZ59" s="111"/>
      <c r="EA59" s="111"/>
      <c r="EB59" s="111"/>
      <c r="EC59" s="111"/>
      <c r="ED59" s="111">
        <v>0.0</v>
      </c>
      <c r="EE59" s="111"/>
      <c r="EF59" s="111"/>
      <c r="EG59" s="111"/>
      <c r="EH59" s="111"/>
      <c r="EI59" s="111"/>
      <c r="EJ59" s="111"/>
      <c r="EK59" s="147"/>
      <c r="EL59" s="111"/>
    </row>
    <row r="60" ht="17.25" customHeight="1">
      <c r="A60" s="148">
        <v>45969.0</v>
      </c>
      <c r="B60" s="111">
        <v>0.0</v>
      </c>
      <c r="C60" s="111"/>
      <c r="D60" s="111"/>
      <c r="E60" s="111">
        <v>30.0</v>
      </c>
      <c r="F60" s="111">
        <v>0.0</v>
      </c>
      <c r="G60" s="111">
        <v>0.0</v>
      </c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42"/>
      <c r="AU60" s="142"/>
      <c r="AV60" s="111">
        <v>4.0</v>
      </c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42"/>
      <c r="BK60" s="111"/>
      <c r="BL60" s="111">
        <v>4.0</v>
      </c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42"/>
      <c r="CA60" s="111"/>
      <c r="CB60" s="111">
        <v>4.0</v>
      </c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>
        <v>0.0</v>
      </c>
      <c r="CS60" s="111">
        <v>0.0</v>
      </c>
      <c r="CT60" s="111">
        <v>0.0</v>
      </c>
      <c r="CU60" s="111"/>
      <c r="CV60" s="111"/>
      <c r="CW60" s="111"/>
      <c r="CX60" s="111"/>
      <c r="CY60" s="111"/>
      <c r="CZ60" s="111">
        <v>0.0</v>
      </c>
      <c r="DA60" s="111">
        <v>0.0</v>
      </c>
      <c r="DB60" s="111">
        <v>0.0</v>
      </c>
      <c r="DC60" s="111">
        <v>0.0</v>
      </c>
      <c r="DD60" s="111">
        <v>0.0</v>
      </c>
      <c r="DE60" s="111">
        <v>0.0</v>
      </c>
      <c r="DF60" s="111" t="str">
        <f t="shared" si="8"/>
        <v>#DIV/0!</v>
      </c>
      <c r="DG60" s="111"/>
      <c r="DH60" s="111"/>
      <c r="DI60" s="111"/>
      <c r="DJ60" s="111"/>
      <c r="DK60" s="111"/>
      <c r="DL60" s="111"/>
      <c r="DM60" s="111">
        <v>0.0</v>
      </c>
      <c r="DN60" s="149">
        <f t="shared" si="9"/>
        <v>318.48</v>
      </c>
      <c r="DO60" s="149">
        <v>0.0</v>
      </c>
      <c r="DP60" s="111"/>
      <c r="DQ60" s="111"/>
      <c r="DR60" s="111"/>
      <c r="DS60" s="111"/>
      <c r="DT60" s="111"/>
      <c r="DU60" s="111"/>
      <c r="DV60" s="111"/>
      <c r="DW60" s="1">
        <v>795.0</v>
      </c>
      <c r="DX60" s="146">
        <v>0.0</v>
      </c>
      <c r="DY60" s="111">
        <v>45.0</v>
      </c>
      <c r="DZ60" s="111"/>
      <c r="EA60" s="111"/>
      <c r="EB60" s="111"/>
      <c r="EC60" s="111"/>
      <c r="ED60" s="111">
        <v>0.0</v>
      </c>
      <c r="EE60" s="111"/>
      <c r="EF60" s="111"/>
      <c r="EG60" s="111"/>
      <c r="EH60" s="111"/>
      <c r="EI60" s="111"/>
      <c r="EJ60" s="111"/>
      <c r="EK60" s="147"/>
      <c r="EL60" s="111"/>
    </row>
    <row r="61" ht="17.25" customHeight="1">
      <c r="A61" s="148">
        <v>45970.0</v>
      </c>
      <c r="B61" s="111">
        <v>0.0</v>
      </c>
      <c r="C61" s="111"/>
      <c r="D61" s="111"/>
      <c r="E61" s="111">
        <v>45.0</v>
      </c>
      <c r="F61" s="111">
        <v>0.0</v>
      </c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42"/>
      <c r="AU61" s="142"/>
      <c r="AV61" s="111">
        <v>4.0</v>
      </c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42"/>
      <c r="BK61" s="111"/>
      <c r="BL61" s="111">
        <v>4.0</v>
      </c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  <c r="BW61" s="111"/>
      <c r="BX61" s="111"/>
      <c r="BY61" s="111"/>
      <c r="BZ61" s="142"/>
      <c r="CA61" s="111"/>
      <c r="CB61" s="111">
        <v>4.0</v>
      </c>
      <c r="CC61" s="111"/>
      <c r="CD61" s="111"/>
      <c r="CE61" s="111"/>
      <c r="CF61" s="111"/>
      <c r="CG61" s="111"/>
      <c r="CH61" s="111"/>
      <c r="CI61" s="111"/>
      <c r="CJ61" s="111"/>
      <c r="CK61" s="111"/>
      <c r="CL61" s="111"/>
      <c r="CM61" s="111"/>
      <c r="CN61" s="111"/>
      <c r="CO61" s="111"/>
      <c r="CP61" s="111"/>
      <c r="CQ61" s="111"/>
      <c r="CR61" s="111">
        <v>0.0</v>
      </c>
      <c r="CS61" s="111">
        <v>0.0</v>
      </c>
      <c r="CT61" s="111">
        <v>0.0</v>
      </c>
      <c r="CU61" s="111"/>
      <c r="CV61" s="111"/>
      <c r="CW61" s="111"/>
      <c r="CX61" s="111"/>
      <c r="CY61" s="111"/>
      <c r="CZ61" s="111">
        <v>0.0</v>
      </c>
      <c r="DA61" s="111">
        <v>0.0</v>
      </c>
      <c r="DB61" s="111">
        <v>0.0</v>
      </c>
      <c r="DC61" s="111">
        <v>0.0</v>
      </c>
      <c r="DD61" s="111">
        <v>0.0</v>
      </c>
      <c r="DE61" s="111">
        <v>0.0</v>
      </c>
      <c r="DF61" s="111" t="str">
        <f t="shared" si="8"/>
        <v>#DIV/0!</v>
      </c>
      <c r="DG61" s="111"/>
      <c r="DH61" s="111"/>
      <c r="DI61" s="111"/>
      <c r="DJ61" s="111"/>
      <c r="DK61" s="111"/>
      <c r="DL61" s="111"/>
      <c r="DM61" s="111">
        <v>0.0</v>
      </c>
      <c r="DN61" s="149">
        <f t="shared" si="9"/>
        <v>318.48</v>
      </c>
      <c r="DO61" s="149">
        <v>0.0</v>
      </c>
      <c r="DP61" s="111"/>
      <c r="DQ61" s="111"/>
      <c r="DR61" s="111"/>
      <c r="DS61" s="111"/>
      <c r="DT61" s="111"/>
      <c r="DU61" s="111"/>
      <c r="DV61" s="111"/>
      <c r="DW61" s="111">
        <v>900.0</v>
      </c>
      <c r="DX61" s="146">
        <v>0.0</v>
      </c>
      <c r="DY61" s="111">
        <v>45.0</v>
      </c>
      <c r="DZ61" s="111"/>
      <c r="EA61" s="111"/>
      <c r="EB61" s="111"/>
      <c r="EC61" s="111"/>
      <c r="ED61" s="111">
        <v>0.0</v>
      </c>
      <c r="EE61" s="111"/>
      <c r="EF61" s="111"/>
      <c r="EG61" s="111"/>
      <c r="EH61" s="111"/>
      <c r="EI61" s="111"/>
      <c r="EJ61" s="111"/>
      <c r="EK61" s="147"/>
      <c r="EL61" s="111"/>
    </row>
    <row r="62" ht="17.25" customHeight="1">
      <c r="A62" s="148">
        <v>45971.0</v>
      </c>
      <c r="B62" s="111">
        <v>0.0</v>
      </c>
      <c r="C62" s="111"/>
      <c r="D62" s="111"/>
      <c r="E62" s="111">
        <v>45.0</v>
      </c>
      <c r="F62" s="111">
        <v>28.46</v>
      </c>
      <c r="G62" s="111">
        <v>78.49</v>
      </c>
      <c r="H62" s="111"/>
      <c r="I62" s="111"/>
      <c r="J62" s="111"/>
      <c r="K62" s="111"/>
      <c r="L62" s="111"/>
      <c r="M62" s="111">
        <v>8.74</v>
      </c>
      <c r="N62" s="111">
        <v>70.82</v>
      </c>
      <c r="O62" s="111">
        <v>5.97</v>
      </c>
      <c r="P62" s="111"/>
      <c r="Q62" s="111">
        <v>8.74</v>
      </c>
      <c r="R62" s="111">
        <v>70.82</v>
      </c>
      <c r="S62" s="111"/>
      <c r="T62" s="111">
        <v>9.29</v>
      </c>
      <c r="U62" s="111">
        <v>52.59</v>
      </c>
      <c r="V62" s="111"/>
      <c r="W62" s="111">
        <v>8.74</v>
      </c>
      <c r="X62" s="111">
        <v>70.82</v>
      </c>
      <c r="Y62" s="111"/>
      <c r="Z62" s="111">
        <v>10.05</v>
      </c>
      <c r="AA62" s="111">
        <v>50.84</v>
      </c>
      <c r="AB62" s="111"/>
      <c r="AC62" s="111">
        <v>0.0</v>
      </c>
      <c r="AD62" s="111">
        <v>0.0</v>
      </c>
      <c r="AE62" s="111"/>
      <c r="AF62" s="111">
        <v>0.0</v>
      </c>
      <c r="AG62" s="111">
        <v>0.0</v>
      </c>
      <c r="AH62" s="111">
        <v>0.0</v>
      </c>
      <c r="AI62" s="111">
        <v>0.0</v>
      </c>
      <c r="AJ62" s="111">
        <v>0.0</v>
      </c>
      <c r="AK62" s="111">
        <v>0.0</v>
      </c>
      <c r="AL62" s="111">
        <v>4.87</v>
      </c>
      <c r="AM62" s="111"/>
      <c r="AN62" s="111">
        <v>7.07</v>
      </c>
      <c r="AO62" s="111">
        <v>31.0</v>
      </c>
      <c r="AP62" s="111">
        <v>0.0</v>
      </c>
      <c r="AQ62" s="111">
        <v>0.0</v>
      </c>
      <c r="AR62" s="111">
        <v>0.0</v>
      </c>
      <c r="AS62" s="111"/>
      <c r="AT62" s="142"/>
      <c r="AU62" s="142"/>
      <c r="AV62" s="111">
        <v>12.0</v>
      </c>
      <c r="AW62" s="111"/>
      <c r="AX62" s="111"/>
      <c r="AY62" s="111"/>
      <c r="AZ62" s="111"/>
      <c r="BA62" s="111"/>
      <c r="BB62" s="111"/>
      <c r="BC62" s="111"/>
      <c r="BD62" s="111">
        <v>7.12</v>
      </c>
      <c r="BE62" s="111">
        <v>30.0</v>
      </c>
      <c r="BF62" s="111"/>
      <c r="BG62" s="111"/>
      <c r="BH62" s="111"/>
      <c r="BI62" s="111"/>
      <c r="BJ62" s="142"/>
      <c r="BK62" s="111"/>
      <c r="BL62" s="111">
        <v>4.0</v>
      </c>
      <c r="BM62" s="111"/>
      <c r="BN62" s="111"/>
      <c r="BO62" s="111"/>
      <c r="BP62" s="111"/>
      <c r="BQ62" s="111"/>
      <c r="BR62" s="111"/>
      <c r="BS62" s="111"/>
      <c r="BT62" s="111">
        <v>0.0</v>
      </c>
      <c r="BU62" s="111">
        <v>0.0</v>
      </c>
      <c r="BV62" s="111"/>
      <c r="BW62" s="111"/>
      <c r="BX62" s="111"/>
      <c r="BY62" s="111"/>
      <c r="BZ62" s="142"/>
      <c r="CA62" s="111"/>
      <c r="CB62" s="111">
        <v>4.0</v>
      </c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>
        <v>0.0</v>
      </c>
      <c r="CS62" s="111">
        <v>0.0</v>
      </c>
      <c r="CT62" s="111">
        <v>0.0</v>
      </c>
      <c r="CU62" s="111"/>
      <c r="CV62" s="111"/>
      <c r="CW62" s="111"/>
      <c r="CX62" s="111"/>
      <c r="CY62" s="111"/>
      <c r="CZ62" s="111">
        <v>0.0</v>
      </c>
      <c r="DA62" s="111">
        <v>0.0</v>
      </c>
      <c r="DB62" s="111">
        <v>0.0</v>
      </c>
      <c r="DC62" s="111">
        <v>0.0</v>
      </c>
      <c r="DD62" s="111">
        <v>0.0</v>
      </c>
      <c r="DE62" s="111">
        <v>0.0</v>
      </c>
      <c r="DF62" s="111" t="str">
        <f t="shared" si="8"/>
        <v>#DIV/0!</v>
      </c>
      <c r="DG62" s="111"/>
      <c r="DH62" s="111"/>
      <c r="DI62" s="111"/>
      <c r="DJ62" s="111"/>
      <c r="DK62" s="111"/>
      <c r="DL62" s="111"/>
      <c r="DM62" s="111">
        <v>0.0</v>
      </c>
      <c r="DN62" s="149">
        <f t="shared" si="9"/>
        <v>318.48</v>
      </c>
      <c r="DO62" s="149">
        <v>0.0</v>
      </c>
      <c r="DP62" s="111"/>
      <c r="DQ62" s="111"/>
      <c r="DR62" s="111"/>
      <c r="DS62" s="111"/>
      <c r="DT62" s="111"/>
      <c r="DU62" s="111"/>
      <c r="DV62" s="111"/>
      <c r="DW62" s="111">
        <v>735.0</v>
      </c>
      <c r="DX62" s="146">
        <v>0.0</v>
      </c>
      <c r="DY62" s="111">
        <v>45.0</v>
      </c>
      <c r="DZ62" s="111"/>
      <c r="EA62" s="111"/>
      <c r="EB62" s="111"/>
      <c r="EC62" s="111"/>
      <c r="ED62" s="111">
        <v>0.0</v>
      </c>
      <c r="EE62" s="111"/>
      <c r="EF62" s="111"/>
      <c r="EG62" s="111"/>
      <c r="EH62" s="111"/>
      <c r="EI62" s="111"/>
      <c r="EJ62" s="111"/>
      <c r="EK62" s="147"/>
      <c r="EL62" s="111"/>
    </row>
    <row r="63" ht="17.25" customHeight="1">
      <c r="A63" s="148">
        <v>45972.0</v>
      </c>
      <c r="B63" s="111">
        <v>0.0</v>
      </c>
      <c r="C63" s="111"/>
      <c r="D63" s="111"/>
      <c r="E63" s="111">
        <v>80.0</v>
      </c>
      <c r="F63" s="111">
        <v>28.89</v>
      </c>
      <c r="G63" s="111">
        <v>76.32</v>
      </c>
      <c r="H63" s="111"/>
      <c r="I63" s="111"/>
      <c r="J63" s="111"/>
      <c r="K63" s="111"/>
      <c r="L63" s="111"/>
      <c r="M63" s="111">
        <v>12.1</v>
      </c>
      <c r="N63" s="111">
        <v>77.6</v>
      </c>
      <c r="O63" s="111">
        <v>5.57</v>
      </c>
      <c r="P63" s="111"/>
      <c r="Q63" s="111">
        <v>12.1</v>
      </c>
      <c r="R63" s="111">
        <v>77.6</v>
      </c>
      <c r="S63" s="111"/>
      <c r="T63" s="111">
        <v>9.35</v>
      </c>
      <c r="U63" s="111">
        <v>52.51</v>
      </c>
      <c r="V63" s="111"/>
      <c r="W63" s="111">
        <v>12.1</v>
      </c>
      <c r="X63" s="111">
        <v>77.6</v>
      </c>
      <c r="Y63" s="111"/>
      <c r="Z63" s="111">
        <v>10.06</v>
      </c>
      <c r="AA63" s="111">
        <v>50.89</v>
      </c>
      <c r="AB63" s="111"/>
      <c r="AC63" s="111">
        <v>0.0</v>
      </c>
      <c r="AD63" s="111">
        <v>0.0</v>
      </c>
      <c r="AE63" s="111"/>
      <c r="AF63" s="111">
        <v>0.0</v>
      </c>
      <c r="AG63" s="111">
        <v>0.0</v>
      </c>
      <c r="AH63" s="111">
        <v>0.0</v>
      </c>
      <c r="AI63" s="111">
        <v>0.0</v>
      </c>
      <c r="AJ63" s="111">
        <v>0.0</v>
      </c>
      <c r="AK63" s="111">
        <v>0.0</v>
      </c>
      <c r="AL63" s="111">
        <v>4.91</v>
      </c>
      <c r="AM63" s="111"/>
      <c r="AN63" s="111">
        <v>7.13</v>
      </c>
      <c r="AO63" s="111">
        <v>31.0</v>
      </c>
      <c r="AP63" s="111">
        <v>0.0</v>
      </c>
      <c r="AQ63" s="111">
        <v>0.0</v>
      </c>
      <c r="AR63" s="111">
        <v>0.0</v>
      </c>
      <c r="AS63" s="111"/>
      <c r="AT63" s="142"/>
      <c r="AU63" s="142"/>
      <c r="AV63" s="111">
        <v>12.0</v>
      </c>
      <c r="AW63" s="111"/>
      <c r="AX63" s="111"/>
      <c r="AY63" s="111"/>
      <c r="AZ63" s="111"/>
      <c r="BA63" s="111"/>
      <c r="BB63" s="111">
        <v>5.12</v>
      </c>
      <c r="BC63" s="111"/>
      <c r="BD63" s="111">
        <v>7.15</v>
      </c>
      <c r="BE63" s="111">
        <v>30.0</v>
      </c>
      <c r="BF63" s="111"/>
      <c r="BG63" s="111"/>
      <c r="BH63" s="111"/>
      <c r="BI63" s="111"/>
      <c r="BJ63" s="142"/>
      <c r="BK63" s="111"/>
      <c r="BL63" s="111">
        <v>4.0</v>
      </c>
      <c r="BM63" s="111"/>
      <c r="BN63" s="111"/>
      <c r="BO63" s="111"/>
      <c r="BP63" s="111"/>
      <c r="BQ63" s="111"/>
      <c r="BR63" s="111"/>
      <c r="BS63" s="111"/>
      <c r="BT63" s="111">
        <v>0.0</v>
      </c>
      <c r="BU63" s="111">
        <v>0.0</v>
      </c>
      <c r="BV63" s="111"/>
      <c r="BW63" s="111"/>
      <c r="BX63" s="111"/>
      <c r="BY63" s="111"/>
      <c r="BZ63" s="142"/>
      <c r="CA63" s="111"/>
      <c r="CB63" s="111">
        <v>4.0</v>
      </c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>
        <v>0.0</v>
      </c>
      <c r="CS63" s="111">
        <v>0.0</v>
      </c>
      <c r="CT63" s="111">
        <v>0.0</v>
      </c>
      <c r="CU63" s="111"/>
      <c r="CV63" s="111"/>
      <c r="CW63" s="111"/>
      <c r="CX63" s="111"/>
      <c r="CY63" s="111"/>
      <c r="CZ63" s="111">
        <v>0.0</v>
      </c>
      <c r="DA63" s="111">
        <v>0.0</v>
      </c>
      <c r="DB63" s="111">
        <v>0.0</v>
      </c>
      <c r="DC63" s="111">
        <v>0.0</v>
      </c>
      <c r="DD63" s="111">
        <v>0.0</v>
      </c>
      <c r="DE63" s="111">
        <v>0.0</v>
      </c>
      <c r="DF63" s="111" t="str">
        <f t="shared" si="8"/>
        <v>#DIV/0!</v>
      </c>
      <c r="DG63" s="111"/>
      <c r="DH63" s="111"/>
      <c r="DI63" s="111"/>
      <c r="DJ63" s="111"/>
      <c r="DK63" s="111"/>
      <c r="DL63" s="111"/>
      <c r="DM63" s="111">
        <v>0.0</v>
      </c>
      <c r="DN63" s="149">
        <f t="shared" si="9"/>
        <v>318.48</v>
      </c>
      <c r="DO63" s="149">
        <v>0.84</v>
      </c>
      <c r="DP63" s="111"/>
      <c r="DQ63" s="111"/>
      <c r="DR63" s="111"/>
      <c r="DS63" s="111"/>
      <c r="DT63" s="111"/>
      <c r="DU63" s="111"/>
      <c r="DV63" s="111"/>
      <c r="DW63" s="111">
        <v>840.0</v>
      </c>
      <c r="DX63" s="146">
        <v>0.0</v>
      </c>
      <c r="DY63" s="111">
        <v>45.0</v>
      </c>
      <c r="DZ63" s="111"/>
      <c r="EA63" s="111"/>
      <c r="EB63" s="111"/>
      <c r="EC63" s="111"/>
      <c r="ED63" s="111">
        <v>0.0</v>
      </c>
      <c r="EE63" s="111"/>
      <c r="EF63" s="111"/>
      <c r="EG63" s="111"/>
      <c r="EH63" s="111"/>
      <c r="EI63" s="111"/>
      <c r="EJ63" s="111"/>
      <c r="EK63" s="147"/>
      <c r="EL63" s="111"/>
    </row>
    <row r="64" ht="17.25" customHeight="1">
      <c r="A64" s="148">
        <v>45973.0</v>
      </c>
      <c r="B64" s="111">
        <v>0.0</v>
      </c>
      <c r="C64" s="111"/>
      <c r="D64" s="111"/>
      <c r="E64" s="111">
        <v>80.0</v>
      </c>
      <c r="F64" s="111">
        <v>28.71</v>
      </c>
      <c r="G64" s="111">
        <v>68.58</v>
      </c>
      <c r="H64" s="111"/>
      <c r="I64" s="111"/>
      <c r="J64" s="111"/>
      <c r="K64" s="111"/>
      <c r="L64" s="111"/>
      <c r="M64" s="111">
        <v>11.79</v>
      </c>
      <c r="N64" s="111">
        <v>72.6</v>
      </c>
      <c r="O64" s="111">
        <v>5.68</v>
      </c>
      <c r="P64" s="111"/>
      <c r="Q64" s="111">
        <v>11.79</v>
      </c>
      <c r="R64" s="111">
        <v>72.6</v>
      </c>
      <c r="S64" s="111"/>
      <c r="T64" s="111">
        <v>9.51</v>
      </c>
      <c r="U64" s="111">
        <v>53.1</v>
      </c>
      <c r="V64" s="111"/>
      <c r="W64" s="111">
        <v>11.79</v>
      </c>
      <c r="X64" s="111">
        <v>72.6</v>
      </c>
      <c r="Y64" s="111"/>
      <c r="Z64" s="111">
        <v>9.62</v>
      </c>
      <c r="AA64" s="111">
        <v>52.59</v>
      </c>
      <c r="AB64" s="111"/>
      <c r="AC64" s="111">
        <v>0.0</v>
      </c>
      <c r="AD64" s="111">
        <v>0.0</v>
      </c>
      <c r="AE64" s="111"/>
      <c r="AF64" s="111">
        <v>0.0</v>
      </c>
      <c r="AG64" s="111">
        <v>0.0</v>
      </c>
      <c r="AH64" s="111">
        <v>0.0</v>
      </c>
      <c r="AI64" s="111">
        <v>0.0</v>
      </c>
      <c r="AJ64" s="111">
        <v>0.0</v>
      </c>
      <c r="AK64" s="111">
        <v>0.0</v>
      </c>
      <c r="AL64" s="111">
        <v>5.05</v>
      </c>
      <c r="AM64" s="111"/>
      <c r="AN64" s="111">
        <v>7.1</v>
      </c>
      <c r="AO64" s="111">
        <v>31.0</v>
      </c>
      <c r="AP64" s="111">
        <v>0.0</v>
      </c>
      <c r="AQ64" s="111">
        <v>0.0</v>
      </c>
      <c r="AR64" s="111">
        <v>0.0</v>
      </c>
      <c r="AS64" s="111"/>
      <c r="AT64" s="142"/>
      <c r="AU64" s="142"/>
      <c r="AV64" s="111">
        <v>12.0</v>
      </c>
      <c r="AW64" s="111"/>
      <c r="AX64" s="111"/>
      <c r="AY64" s="111"/>
      <c r="AZ64" s="111"/>
      <c r="BA64" s="111"/>
      <c r="BB64" s="111">
        <v>5.06</v>
      </c>
      <c r="BC64" s="111"/>
      <c r="BD64" s="111">
        <v>7.13</v>
      </c>
      <c r="BE64" s="111">
        <v>30.0</v>
      </c>
      <c r="BF64" s="111"/>
      <c r="BG64" s="111"/>
      <c r="BH64" s="111"/>
      <c r="BI64" s="111"/>
      <c r="BJ64" s="142"/>
      <c r="BK64" s="111"/>
      <c r="BL64" s="111">
        <v>4.0</v>
      </c>
      <c r="BM64" s="111"/>
      <c r="BN64" s="111"/>
      <c r="BO64" s="111"/>
      <c r="BP64" s="111"/>
      <c r="BQ64" s="111"/>
      <c r="BR64" s="111"/>
      <c r="BS64" s="111"/>
      <c r="BT64" s="111">
        <v>0.0</v>
      </c>
      <c r="BU64" s="111">
        <v>0.0</v>
      </c>
      <c r="BV64" s="111"/>
      <c r="BW64" s="111"/>
      <c r="BX64" s="111"/>
      <c r="BY64" s="111"/>
      <c r="BZ64" s="142"/>
      <c r="CA64" s="111"/>
      <c r="CB64" s="111">
        <v>4.0</v>
      </c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>
        <v>4875.0</v>
      </c>
      <c r="CS64" s="111">
        <v>0.0</v>
      </c>
      <c r="CT64" s="111">
        <f t="shared" ref="CT64:CT82" si="10">CR64/E64</f>
        <v>60.9375</v>
      </c>
      <c r="CU64" s="111"/>
      <c r="CV64" s="111"/>
      <c r="CW64" s="111"/>
      <c r="CX64" s="111"/>
      <c r="CY64" s="111"/>
      <c r="CZ64" s="111">
        <v>1500.0</v>
      </c>
      <c r="DA64" s="111">
        <v>95.3</v>
      </c>
      <c r="DB64" s="111">
        <v>3.3</v>
      </c>
      <c r="DC64" s="111">
        <v>1.8</v>
      </c>
      <c r="DD64" s="111">
        <v>0.09</v>
      </c>
      <c r="DE64" s="111">
        <v>3.0</v>
      </c>
      <c r="DF64" s="111">
        <f t="shared" si="8"/>
        <v>30.76923077</v>
      </c>
      <c r="DG64" s="111"/>
      <c r="DH64" s="111"/>
      <c r="DI64" s="111"/>
      <c r="DJ64" s="111"/>
      <c r="DK64" s="111"/>
      <c r="DL64" s="111"/>
      <c r="DM64" s="111">
        <v>0.0</v>
      </c>
      <c r="DN64" s="149">
        <f t="shared" si="9"/>
        <v>317.64</v>
      </c>
      <c r="DO64" s="149">
        <v>0.0</v>
      </c>
      <c r="DP64" s="111"/>
      <c r="DQ64" s="111"/>
      <c r="DR64" s="111"/>
      <c r="DS64" s="111"/>
      <c r="DT64" s="111"/>
      <c r="DU64" s="111"/>
      <c r="DV64" s="111"/>
      <c r="DW64" s="111">
        <v>3770.0</v>
      </c>
      <c r="DX64" s="146">
        <f t="shared" ref="DX64:DX82" si="11">DW64/CZ64</f>
        <v>2.513333333</v>
      </c>
      <c r="DY64" s="111">
        <v>45.0</v>
      </c>
      <c r="DZ64" s="111"/>
      <c r="EA64" s="111"/>
      <c r="EB64" s="111"/>
      <c r="EC64" s="111"/>
      <c r="ED64" s="143">
        <v>11.1</v>
      </c>
      <c r="EE64" s="111"/>
      <c r="EF64" s="111"/>
      <c r="EG64" s="111"/>
      <c r="EH64" s="111"/>
      <c r="EI64" s="111"/>
      <c r="EJ64" s="111"/>
      <c r="EK64" s="147"/>
      <c r="EL64" s="111"/>
    </row>
    <row r="65" ht="17.25" customHeight="1">
      <c r="A65" s="148">
        <v>45974.0</v>
      </c>
      <c r="B65" s="111">
        <v>0.0</v>
      </c>
      <c r="C65" s="111"/>
      <c r="D65" s="111"/>
      <c r="E65" s="111">
        <v>70.0</v>
      </c>
      <c r="F65" s="111">
        <v>0.0</v>
      </c>
      <c r="G65" s="111">
        <v>0.0</v>
      </c>
      <c r="H65" s="111"/>
      <c r="I65" s="111"/>
      <c r="J65" s="111"/>
      <c r="K65" s="111"/>
      <c r="L65" s="111"/>
      <c r="M65" s="111">
        <v>0.0</v>
      </c>
      <c r="N65" s="111">
        <v>0.0</v>
      </c>
      <c r="O65" s="111">
        <v>0.0</v>
      </c>
      <c r="P65" s="111"/>
      <c r="Q65" s="111">
        <v>0.0</v>
      </c>
      <c r="R65" s="111">
        <v>0.0</v>
      </c>
      <c r="S65" s="111"/>
      <c r="T65" s="111">
        <v>0.0</v>
      </c>
      <c r="U65" s="111">
        <v>0.0</v>
      </c>
      <c r="V65" s="111"/>
      <c r="W65" s="111">
        <v>0.0</v>
      </c>
      <c r="X65" s="111">
        <v>0.0</v>
      </c>
      <c r="Y65" s="111"/>
      <c r="Z65" s="111">
        <v>0.0</v>
      </c>
      <c r="AA65" s="111">
        <v>0.0</v>
      </c>
      <c r="AB65" s="111"/>
      <c r="AC65" s="111">
        <v>0.0</v>
      </c>
      <c r="AD65" s="111">
        <v>0.0</v>
      </c>
      <c r="AE65" s="111"/>
      <c r="AF65" s="111">
        <v>0.0</v>
      </c>
      <c r="AG65" s="111">
        <v>0.0</v>
      </c>
      <c r="AH65" s="111">
        <v>0.0</v>
      </c>
      <c r="AI65" s="111">
        <v>0.0</v>
      </c>
      <c r="AJ65" s="111">
        <v>0.0</v>
      </c>
      <c r="AK65" s="111">
        <v>0.0</v>
      </c>
      <c r="AL65" s="111">
        <v>0.0</v>
      </c>
      <c r="AM65" s="111"/>
      <c r="AN65" s="111">
        <v>0.0</v>
      </c>
      <c r="AO65" s="111">
        <v>0.0</v>
      </c>
      <c r="AP65" s="111">
        <v>0.0</v>
      </c>
      <c r="AQ65" s="111">
        <v>0.0</v>
      </c>
      <c r="AR65" s="111">
        <v>0.0</v>
      </c>
      <c r="AS65" s="111"/>
      <c r="AT65" s="142"/>
      <c r="AU65" s="142"/>
      <c r="AV65" s="111">
        <v>12.0</v>
      </c>
      <c r="AW65" s="111"/>
      <c r="AX65" s="111"/>
      <c r="AY65" s="111"/>
      <c r="AZ65" s="111"/>
      <c r="BA65" s="111"/>
      <c r="BB65" s="111">
        <v>0.0</v>
      </c>
      <c r="BC65" s="111"/>
      <c r="BD65" s="111">
        <v>0.0</v>
      </c>
      <c r="BE65" s="111">
        <v>0.0</v>
      </c>
      <c r="BF65" s="111"/>
      <c r="BG65" s="111"/>
      <c r="BH65" s="111"/>
      <c r="BI65" s="111"/>
      <c r="BJ65" s="142"/>
      <c r="BK65" s="111"/>
      <c r="BL65" s="111">
        <v>4.0</v>
      </c>
      <c r="BM65" s="111"/>
      <c r="BN65" s="111"/>
      <c r="BO65" s="111"/>
      <c r="BP65" s="111"/>
      <c r="BQ65" s="111"/>
      <c r="BR65" s="111"/>
      <c r="BS65" s="111"/>
      <c r="BT65" s="111">
        <v>0.0</v>
      </c>
      <c r="BU65" s="111">
        <v>0.0</v>
      </c>
      <c r="BV65" s="111"/>
      <c r="BW65" s="111"/>
      <c r="BX65" s="111"/>
      <c r="BY65" s="111"/>
      <c r="BZ65" s="142"/>
      <c r="CA65" s="111"/>
      <c r="CB65" s="111">
        <v>4.0</v>
      </c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>
        <v>4258.0</v>
      </c>
      <c r="CS65" s="111">
        <v>0.0</v>
      </c>
      <c r="CT65" s="111">
        <f t="shared" si="10"/>
        <v>60.82857143</v>
      </c>
      <c r="CU65" s="111"/>
      <c r="CV65" s="111">
        <v>40.0</v>
      </c>
      <c r="CW65" s="111"/>
      <c r="CX65" s="111"/>
      <c r="CY65" s="111"/>
      <c r="CZ65" s="111">
        <v>1276.0</v>
      </c>
      <c r="DA65" s="111">
        <v>94.3</v>
      </c>
      <c r="DB65" s="111">
        <v>3.6</v>
      </c>
      <c r="DC65" s="111">
        <v>2.0</v>
      </c>
      <c r="DD65" s="111">
        <v>0.079</v>
      </c>
      <c r="DE65" s="111">
        <v>3.0</v>
      </c>
      <c r="DF65" s="111">
        <f t="shared" si="8"/>
        <v>29.96712071</v>
      </c>
      <c r="DG65" s="111"/>
      <c r="DH65" s="111"/>
      <c r="DI65" s="111"/>
      <c r="DJ65" s="111"/>
      <c r="DK65" s="111"/>
      <c r="DL65" s="111"/>
      <c r="DM65" s="111">
        <v>0.0</v>
      </c>
      <c r="DN65" s="149">
        <f t="shared" si="9"/>
        <v>317.64</v>
      </c>
      <c r="DO65" s="149">
        <v>0.0</v>
      </c>
      <c r="DP65" s="111"/>
      <c r="DQ65" s="111"/>
      <c r="DR65" s="111"/>
      <c r="DS65" s="111"/>
      <c r="DT65" s="111"/>
      <c r="DU65" s="111"/>
      <c r="DV65" s="111"/>
      <c r="DW65" s="111">
        <v>3285.0</v>
      </c>
      <c r="DX65" s="146">
        <f t="shared" si="11"/>
        <v>2.574451411</v>
      </c>
      <c r="DY65" s="111">
        <v>45.0</v>
      </c>
      <c r="DZ65" s="111"/>
      <c r="EA65" s="111"/>
      <c r="EB65" s="111"/>
      <c r="EC65" s="111"/>
      <c r="ED65" s="143">
        <v>11.2</v>
      </c>
      <c r="EE65" s="111"/>
      <c r="EF65" s="111"/>
      <c r="EG65" s="111"/>
      <c r="EH65" s="111"/>
      <c r="EI65" s="111"/>
      <c r="EJ65" s="111"/>
      <c r="EK65" s="147"/>
      <c r="EL65" s="111"/>
    </row>
    <row r="66" ht="17.25" customHeight="1">
      <c r="A66" s="148">
        <v>45975.0</v>
      </c>
      <c r="B66" s="111">
        <v>0.0</v>
      </c>
      <c r="C66" s="111"/>
      <c r="D66" s="111"/>
      <c r="E66" s="111">
        <v>100.0</v>
      </c>
      <c r="F66" s="111">
        <v>29.76</v>
      </c>
      <c r="G66" s="111">
        <v>71.4</v>
      </c>
      <c r="H66" s="111"/>
      <c r="I66" s="111"/>
      <c r="J66" s="111"/>
      <c r="K66" s="111"/>
      <c r="L66" s="111"/>
      <c r="M66" s="111">
        <v>12.42</v>
      </c>
      <c r="N66" s="111">
        <v>70.37</v>
      </c>
      <c r="O66" s="111">
        <v>5.44</v>
      </c>
      <c r="P66" s="111"/>
      <c r="Q66" s="111">
        <v>12.42</v>
      </c>
      <c r="R66" s="111">
        <v>70.37</v>
      </c>
      <c r="S66" s="111"/>
      <c r="T66" s="111">
        <v>9.29</v>
      </c>
      <c r="U66" s="111">
        <v>54.68</v>
      </c>
      <c r="V66" s="111"/>
      <c r="W66" s="111">
        <v>12.42</v>
      </c>
      <c r="X66" s="111">
        <v>70.37</v>
      </c>
      <c r="Y66" s="111"/>
      <c r="Z66" s="111">
        <v>9.65</v>
      </c>
      <c r="AA66" s="111">
        <v>52.53</v>
      </c>
      <c r="AB66" s="111"/>
      <c r="AC66" s="111">
        <v>12.42</v>
      </c>
      <c r="AD66" s="111">
        <v>70.37</v>
      </c>
      <c r="AE66" s="111"/>
      <c r="AF66" s="111">
        <v>9.48</v>
      </c>
      <c r="AG66" s="111">
        <v>50.94</v>
      </c>
      <c r="AH66" s="111"/>
      <c r="AI66" s="111"/>
      <c r="AJ66" s="111"/>
      <c r="AK66" s="111"/>
      <c r="AL66" s="111">
        <v>5.08</v>
      </c>
      <c r="AM66" s="111"/>
      <c r="AN66" s="111">
        <v>7.07</v>
      </c>
      <c r="AO66" s="111">
        <v>31.0</v>
      </c>
      <c r="AP66" s="111">
        <v>0.0</v>
      </c>
      <c r="AQ66" s="111">
        <v>0.0</v>
      </c>
      <c r="AR66" s="111">
        <v>0.0</v>
      </c>
      <c r="AS66" s="111"/>
      <c r="AT66" s="142"/>
      <c r="AU66" s="142"/>
      <c r="AV66" s="111">
        <v>12.0</v>
      </c>
      <c r="AW66" s="111"/>
      <c r="AX66" s="111"/>
      <c r="AY66" s="111"/>
      <c r="AZ66" s="111"/>
      <c r="BA66" s="111"/>
      <c r="BB66" s="111">
        <v>5.07</v>
      </c>
      <c r="BC66" s="111"/>
      <c r="BD66" s="111">
        <v>7.09</v>
      </c>
      <c r="BE66" s="111">
        <v>31.0</v>
      </c>
      <c r="BF66" s="111"/>
      <c r="BG66" s="111"/>
      <c r="BH66" s="111"/>
      <c r="BI66" s="111"/>
      <c r="BJ66" s="142"/>
      <c r="BK66" s="111"/>
      <c r="BL66" s="111">
        <v>4.0</v>
      </c>
      <c r="BM66" s="111"/>
      <c r="BN66" s="111"/>
      <c r="BO66" s="111"/>
      <c r="BP66" s="111"/>
      <c r="BQ66" s="111"/>
      <c r="BR66" s="111">
        <v>4.83</v>
      </c>
      <c r="BS66" s="111"/>
      <c r="BT66" s="111">
        <v>7.11</v>
      </c>
      <c r="BU66" s="111">
        <v>29.0</v>
      </c>
      <c r="BV66" s="111"/>
      <c r="BW66" s="111"/>
      <c r="BX66" s="111"/>
      <c r="BY66" s="111"/>
      <c r="BZ66" s="142"/>
      <c r="CA66" s="111"/>
      <c r="CB66" s="111">
        <v>4.0</v>
      </c>
      <c r="CC66" s="111"/>
      <c r="CD66" s="111"/>
      <c r="CE66" s="111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11">
        <v>6615.0</v>
      </c>
      <c r="CS66" s="111">
        <v>0.0</v>
      </c>
      <c r="CT66" s="111">
        <f t="shared" si="10"/>
        <v>66.15</v>
      </c>
      <c r="CU66" s="111"/>
      <c r="CV66" s="111">
        <v>44.0</v>
      </c>
      <c r="CW66" s="111"/>
      <c r="CX66" s="111"/>
      <c r="CY66" s="111"/>
      <c r="CZ66" s="111">
        <v>2235.0</v>
      </c>
      <c r="DA66" s="18">
        <v>95.6</v>
      </c>
      <c r="DB66" s="18">
        <v>3.5</v>
      </c>
      <c r="DC66" s="111">
        <v>2.0</v>
      </c>
      <c r="DD66" s="18">
        <v>0.08</v>
      </c>
      <c r="DE66" s="145">
        <v>2.0</v>
      </c>
      <c r="DF66" s="111">
        <f t="shared" si="8"/>
        <v>33.78684807</v>
      </c>
      <c r="DG66" s="111"/>
      <c r="DH66" s="111"/>
      <c r="DI66" s="111"/>
      <c r="DJ66" s="111"/>
      <c r="DK66" s="111"/>
      <c r="DL66" s="111"/>
      <c r="DM66" s="111">
        <v>0.0</v>
      </c>
      <c r="DN66" s="149">
        <f t="shared" si="9"/>
        <v>317.64</v>
      </c>
      <c r="DO66" s="149">
        <v>0.0</v>
      </c>
      <c r="DP66" s="111"/>
      <c r="DQ66" s="111"/>
      <c r="DR66" s="111"/>
      <c r="DS66" s="111"/>
      <c r="DT66" s="111"/>
      <c r="DU66" s="111"/>
      <c r="DV66" s="111"/>
      <c r="DW66" s="111">
        <v>5520.0</v>
      </c>
      <c r="DX66" s="146">
        <f t="shared" si="11"/>
        <v>2.469798658</v>
      </c>
      <c r="DY66" s="111">
        <v>45.0</v>
      </c>
      <c r="DZ66" s="111"/>
      <c r="EA66" s="111"/>
      <c r="EB66" s="111"/>
      <c r="EC66" s="111"/>
      <c r="ED66" s="111">
        <v>18.45</v>
      </c>
      <c r="EE66" s="111"/>
      <c r="EF66" s="111"/>
      <c r="EG66" s="111"/>
      <c r="EH66" s="111"/>
      <c r="EI66" s="111"/>
      <c r="EJ66" s="111"/>
      <c r="EK66" s="147"/>
      <c r="EL66" s="111"/>
    </row>
    <row r="67" ht="17.25" customHeight="1">
      <c r="A67" s="148">
        <v>45976.0</v>
      </c>
      <c r="B67" s="111">
        <v>0.0</v>
      </c>
      <c r="C67" s="111"/>
      <c r="D67" s="111"/>
      <c r="E67" s="111">
        <v>100.0</v>
      </c>
      <c r="F67" s="111">
        <v>0.0</v>
      </c>
      <c r="G67" s="111">
        <v>0.0</v>
      </c>
      <c r="H67" s="111"/>
      <c r="I67" s="111"/>
      <c r="J67" s="111"/>
      <c r="K67" s="111"/>
      <c r="L67" s="111"/>
      <c r="M67" s="111">
        <v>0.0</v>
      </c>
      <c r="N67" s="111">
        <v>0.0</v>
      </c>
      <c r="O67" s="111">
        <v>0.0</v>
      </c>
      <c r="P67" s="111"/>
      <c r="Q67" s="111">
        <v>0.0</v>
      </c>
      <c r="R67" s="111">
        <v>0.0</v>
      </c>
      <c r="S67" s="111"/>
      <c r="T67" s="111">
        <v>0.0</v>
      </c>
      <c r="U67" s="111">
        <v>0.0</v>
      </c>
      <c r="V67" s="111"/>
      <c r="W67" s="111">
        <v>0.0</v>
      </c>
      <c r="X67" s="111">
        <v>0.0</v>
      </c>
      <c r="Y67" s="111"/>
      <c r="Z67" s="111">
        <v>0.0</v>
      </c>
      <c r="AA67" s="111">
        <v>0.0</v>
      </c>
      <c r="AB67" s="111"/>
      <c r="AC67" s="111">
        <v>0.0</v>
      </c>
      <c r="AD67" s="111">
        <v>0.0</v>
      </c>
      <c r="AE67" s="111"/>
      <c r="AF67" s="111">
        <v>0.0</v>
      </c>
      <c r="AG67" s="111">
        <v>0.0</v>
      </c>
      <c r="AH67" s="111"/>
      <c r="AI67" s="111"/>
      <c r="AJ67" s="111"/>
      <c r="AK67" s="111"/>
      <c r="AL67" s="111">
        <v>0.0</v>
      </c>
      <c r="AM67" s="111"/>
      <c r="AN67" s="111">
        <v>0.0</v>
      </c>
      <c r="AO67" s="111">
        <v>0.0</v>
      </c>
      <c r="AP67" s="111">
        <v>0.0</v>
      </c>
      <c r="AQ67" s="111">
        <v>0.0</v>
      </c>
      <c r="AR67" s="111">
        <v>0.0</v>
      </c>
      <c r="AS67" s="111"/>
      <c r="AT67" s="142"/>
      <c r="AU67" s="142"/>
      <c r="AV67" s="111">
        <v>12.0</v>
      </c>
      <c r="AW67" s="111"/>
      <c r="AX67" s="111"/>
      <c r="AY67" s="111"/>
      <c r="AZ67" s="111"/>
      <c r="BA67" s="111"/>
      <c r="BB67" s="111">
        <v>0.0</v>
      </c>
      <c r="BC67" s="111"/>
      <c r="BD67" s="111">
        <v>0.0</v>
      </c>
      <c r="BE67" s="111">
        <v>0.0</v>
      </c>
      <c r="BF67" s="111"/>
      <c r="BG67" s="111"/>
      <c r="BH67" s="111"/>
      <c r="BI67" s="111"/>
      <c r="BJ67" s="142"/>
      <c r="BK67" s="111"/>
      <c r="BL67" s="111">
        <v>4.0</v>
      </c>
      <c r="BM67" s="111"/>
      <c r="BN67" s="111"/>
      <c r="BO67" s="111"/>
      <c r="BP67" s="111"/>
      <c r="BQ67" s="111"/>
      <c r="BR67" s="111">
        <v>0.0</v>
      </c>
      <c r="BS67" s="111"/>
      <c r="BT67" s="111">
        <v>0.0</v>
      </c>
      <c r="BU67" s="111">
        <v>0.0</v>
      </c>
      <c r="BV67" s="111"/>
      <c r="BW67" s="111"/>
      <c r="BX67" s="111"/>
      <c r="BY67" s="111"/>
      <c r="BZ67" s="142"/>
      <c r="CA67" s="111"/>
      <c r="CB67" s="111">
        <v>4.0</v>
      </c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>
        <v>5795.0</v>
      </c>
      <c r="CS67" s="111">
        <v>0.0</v>
      </c>
      <c r="CT67" s="111">
        <f t="shared" si="10"/>
        <v>57.95</v>
      </c>
      <c r="CU67" s="111"/>
      <c r="CV67" s="111">
        <v>0.0</v>
      </c>
      <c r="CW67" s="111"/>
      <c r="CX67" s="111"/>
      <c r="CY67" s="111"/>
      <c r="CZ67" s="111">
        <v>2065.0</v>
      </c>
      <c r="DA67" s="111">
        <v>97.0</v>
      </c>
      <c r="DB67" s="111">
        <v>2.8</v>
      </c>
      <c r="DC67" s="111">
        <v>4.0</v>
      </c>
      <c r="DD67" s="111">
        <v>0.1</v>
      </c>
      <c r="DE67" s="111">
        <v>1.3</v>
      </c>
      <c r="DF67" s="111">
        <f t="shared" si="8"/>
        <v>35.63416739</v>
      </c>
      <c r="DG67" s="111"/>
      <c r="DH67" s="111"/>
      <c r="DI67" s="111"/>
      <c r="DJ67" s="111"/>
      <c r="DK67" s="111"/>
      <c r="DL67" s="111"/>
      <c r="DM67" s="111">
        <v>2.0</v>
      </c>
      <c r="DN67" s="149">
        <f t="shared" si="9"/>
        <v>319.64</v>
      </c>
      <c r="DO67" s="149">
        <v>0.0</v>
      </c>
      <c r="DP67" s="111"/>
      <c r="DQ67" s="111"/>
      <c r="DR67" s="111"/>
      <c r="DS67" s="111"/>
      <c r="DT67" s="111"/>
      <c r="DU67" s="111"/>
      <c r="DV67" s="111"/>
      <c r="DW67" s="111">
        <v>5220.0</v>
      </c>
      <c r="DX67" s="146">
        <f t="shared" si="11"/>
        <v>2.527845036</v>
      </c>
      <c r="DY67" s="111">
        <v>45.0</v>
      </c>
      <c r="DZ67" s="111"/>
      <c r="EA67" s="111"/>
      <c r="EB67" s="111"/>
      <c r="EC67" s="111"/>
      <c r="ED67" s="111">
        <v>16.4</v>
      </c>
      <c r="EE67" s="111"/>
      <c r="EF67" s="111"/>
      <c r="EG67" s="111"/>
      <c r="EH67" s="111"/>
      <c r="EI67" s="111"/>
      <c r="EJ67" s="111"/>
      <c r="EK67" s="147"/>
      <c r="EL67" s="111"/>
    </row>
    <row r="68" ht="17.25" customHeight="1">
      <c r="A68" s="148">
        <v>45977.0</v>
      </c>
      <c r="B68" s="111">
        <v>0.0</v>
      </c>
      <c r="C68" s="111"/>
      <c r="D68" s="111"/>
      <c r="E68" s="111">
        <v>100.0</v>
      </c>
      <c r="F68" s="111">
        <v>0.0</v>
      </c>
      <c r="G68" s="111">
        <v>0.0</v>
      </c>
      <c r="H68" s="111"/>
      <c r="I68" s="111"/>
      <c r="J68" s="111"/>
      <c r="K68" s="111"/>
      <c r="L68" s="111"/>
      <c r="M68" s="111">
        <v>0.0</v>
      </c>
      <c r="N68" s="111">
        <v>0.0</v>
      </c>
      <c r="O68" s="111">
        <v>0.0</v>
      </c>
      <c r="P68" s="111"/>
      <c r="Q68" s="111">
        <v>0.0</v>
      </c>
      <c r="R68" s="111">
        <v>0.0</v>
      </c>
      <c r="S68" s="111"/>
      <c r="T68" s="111">
        <v>0.0</v>
      </c>
      <c r="U68" s="111">
        <v>0.0</v>
      </c>
      <c r="V68" s="111"/>
      <c r="W68" s="111">
        <v>0.0</v>
      </c>
      <c r="X68" s="111">
        <v>0.0</v>
      </c>
      <c r="Y68" s="111"/>
      <c r="Z68" s="111">
        <v>0.0</v>
      </c>
      <c r="AA68" s="111">
        <v>0.0</v>
      </c>
      <c r="AB68" s="111"/>
      <c r="AC68" s="111">
        <v>0.0</v>
      </c>
      <c r="AD68" s="111">
        <v>0.0</v>
      </c>
      <c r="AE68" s="111"/>
      <c r="AF68" s="111">
        <v>0.0</v>
      </c>
      <c r="AG68" s="111">
        <v>0.0</v>
      </c>
      <c r="AH68" s="111"/>
      <c r="AI68" s="111"/>
      <c r="AJ68" s="111"/>
      <c r="AK68" s="111"/>
      <c r="AL68" s="111">
        <v>0.0</v>
      </c>
      <c r="AM68" s="111"/>
      <c r="AN68" s="111">
        <v>0.0</v>
      </c>
      <c r="AO68" s="111">
        <v>0.0</v>
      </c>
      <c r="AP68" s="111">
        <v>0.0</v>
      </c>
      <c r="AQ68" s="111">
        <v>0.0</v>
      </c>
      <c r="AR68" s="111">
        <v>0.0</v>
      </c>
      <c r="AS68" s="111"/>
      <c r="AT68" s="142"/>
      <c r="AU68" s="142"/>
      <c r="AV68" s="111">
        <v>12.0</v>
      </c>
      <c r="AW68" s="111"/>
      <c r="AX68" s="111"/>
      <c r="AY68" s="111"/>
      <c r="AZ68" s="111"/>
      <c r="BA68" s="111"/>
      <c r="BB68" s="111">
        <v>0.0</v>
      </c>
      <c r="BC68" s="111"/>
      <c r="BD68" s="111">
        <v>0.0</v>
      </c>
      <c r="BE68" s="111">
        <v>0.0</v>
      </c>
      <c r="BF68" s="111"/>
      <c r="BG68" s="111"/>
      <c r="BH68" s="111"/>
      <c r="BI68" s="111"/>
      <c r="BJ68" s="142"/>
      <c r="BK68" s="111"/>
      <c r="BL68" s="111">
        <v>4.0</v>
      </c>
      <c r="BM68" s="111"/>
      <c r="BN68" s="111"/>
      <c r="BO68" s="111"/>
      <c r="BP68" s="111"/>
      <c r="BQ68" s="111"/>
      <c r="BR68" s="111">
        <v>0.0</v>
      </c>
      <c r="BS68" s="111"/>
      <c r="BT68" s="111">
        <v>0.0</v>
      </c>
      <c r="BU68" s="111">
        <v>0.0</v>
      </c>
      <c r="BV68" s="111"/>
      <c r="BW68" s="111"/>
      <c r="BX68" s="111"/>
      <c r="BY68" s="111"/>
      <c r="BZ68" s="142"/>
      <c r="CA68" s="111"/>
      <c r="CB68" s="111">
        <v>4.0</v>
      </c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11">
        <v>4005.0</v>
      </c>
      <c r="CS68" s="111">
        <v>0.0</v>
      </c>
      <c r="CT68" s="111">
        <f t="shared" si="10"/>
        <v>40.05</v>
      </c>
      <c r="CU68" s="111"/>
      <c r="CV68" s="111">
        <v>0.0</v>
      </c>
      <c r="CW68" s="111"/>
      <c r="CX68" s="111"/>
      <c r="CY68" s="111"/>
      <c r="CZ68" s="111">
        <v>1180.0</v>
      </c>
      <c r="DA68" s="111">
        <v>96.0</v>
      </c>
      <c r="DB68" s="111">
        <v>3.0</v>
      </c>
      <c r="DC68" s="111">
        <v>3.0</v>
      </c>
      <c r="DD68" s="111">
        <v>0.1</v>
      </c>
      <c r="DE68" s="111">
        <v>1.2</v>
      </c>
      <c r="DF68" s="111">
        <f t="shared" si="8"/>
        <v>29.46317104</v>
      </c>
      <c r="DG68" s="111"/>
      <c r="DH68" s="111"/>
      <c r="DI68" s="111"/>
      <c r="DJ68" s="111"/>
      <c r="DK68" s="111"/>
      <c r="DL68" s="111"/>
      <c r="DM68" s="111">
        <v>4.0</v>
      </c>
      <c r="DN68" s="149">
        <f t="shared" si="9"/>
        <v>323.64</v>
      </c>
      <c r="DO68" s="149">
        <v>0.0</v>
      </c>
      <c r="DP68" s="111"/>
      <c r="DQ68" s="111"/>
      <c r="DR68" s="111"/>
      <c r="DS68" s="111"/>
      <c r="DT68" s="111"/>
      <c r="DU68" s="111"/>
      <c r="DV68" s="111"/>
      <c r="DW68" s="111">
        <v>3615.0</v>
      </c>
      <c r="DX68" s="146">
        <f t="shared" si="11"/>
        <v>3.063559322</v>
      </c>
      <c r="DY68" s="111">
        <v>45.0</v>
      </c>
      <c r="DZ68" s="111"/>
      <c r="EA68" s="111"/>
      <c r="EB68" s="111"/>
      <c r="EC68" s="111"/>
      <c r="ED68" s="111">
        <v>10.3</v>
      </c>
      <c r="EE68" s="111"/>
      <c r="EF68" s="111"/>
      <c r="EG68" s="111"/>
      <c r="EH68" s="111"/>
      <c r="EI68" s="111"/>
      <c r="EJ68" s="111"/>
      <c r="EK68" s="147"/>
      <c r="EL68" s="111"/>
    </row>
    <row r="69" ht="17.25" customHeight="1">
      <c r="A69" s="148">
        <v>45978.0</v>
      </c>
      <c r="B69" s="111">
        <v>0.0</v>
      </c>
      <c r="C69" s="111"/>
      <c r="D69" s="111"/>
      <c r="E69" s="111">
        <v>100.0</v>
      </c>
      <c r="F69" s="111">
        <v>28.96</v>
      </c>
      <c r="G69" s="111">
        <v>79.79</v>
      </c>
      <c r="H69" s="111"/>
      <c r="I69" s="111"/>
      <c r="J69" s="111"/>
      <c r="K69" s="111"/>
      <c r="L69" s="111"/>
      <c r="M69" s="111">
        <v>12.1</v>
      </c>
      <c r="N69" s="111">
        <v>69.0</v>
      </c>
      <c r="O69" s="111">
        <v>5.67</v>
      </c>
      <c r="P69" s="111"/>
      <c r="Q69" s="111">
        <v>12.1</v>
      </c>
      <c r="R69" s="111">
        <v>69.0</v>
      </c>
      <c r="S69" s="111"/>
      <c r="T69" s="111">
        <v>9.34</v>
      </c>
      <c r="U69" s="111">
        <v>54.38</v>
      </c>
      <c r="V69" s="111"/>
      <c r="W69" s="111">
        <v>12.1</v>
      </c>
      <c r="X69" s="111">
        <v>69.0</v>
      </c>
      <c r="Y69" s="111"/>
      <c r="Z69" s="111">
        <v>9.62</v>
      </c>
      <c r="AA69" s="111">
        <v>54.15</v>
      </c>
      <c r="AB69" s="111"/>
      <c r="AC69" s="111">
        <v>12.1</v>
      </c>
      <c r="AD69" s="111">
        <v>69.0</v>
      </c>
      <c r="AE69" s="111"/>
      <c r="AF69" s="111">
        <v>9.43</v>
      </c>
      <c r="AG69" s="111">
        <v>52.17</v>
      </c>
      <c r="AH69" s="111"/>
      <c r="AI69" s="111"/>
      <c r="AJ69" s="111"/>
      <c r="AK69" s="111"/>
      <c r="AL69" s="111">
        <v>5.08</v>
      </c>
      <c r="AM69" s="111"/>
      <c r="AN69" s="111">
        <v>7.07</v>
      </c>
      <c r="AO69" s="111">
        <v>31.5</v>
      </c>
      <c r="AP69" s="111">
        <v>0.0</v>
      </c>
      <c r="AQ69" s="111">
        <v>0.0</v>
      </c>
      <c r="AR69" s="111">
        <v>0.0</v>
      </c>
      <c r="AS69" s="111"/>
      <c r="AT69" s="142"/>
      <c r="AU69" s="142"/>
      <c r="AV69" s="111">
        <v>12.0</v>
      </c>
      <c r="AW69" s="111"/>
      <c r="AX69" s="111"/>
      <c r="AY69" s="111"/>
      <c r="AZ69" s="111"/>
      <c r="BA69" s="111"/>
      <c r="BB69" s="111">
        <v>5.21</v>
      </c>
      <c r="BC69" s="111"/>
      <c r="BD69" s="111">
        <v>7.05</v>
      </c>
      <c r="BE69" s="111">
        <v>31.5</v>
      </c>
      <c r="BF69" s="111"/>
      <c r="BG69" s="111"/>
      <c r="BH69" s="111"/>
      <c r="BI69" s="111"/>
      <c r="BJ69" s="142"/>
      <c r="BK69" s="111"/>
      <c r="BL69" s="111">
        <v>4.0</v>
      </c>
      <c r="BM69" s="111"/>
      <c r="BN69" s="111"/>
      <c r="BO69" s="111"/>
      <c r="BP69" s="111"/>
      <c r="BQ69" s="111"/>
      <c r="BR69" s="111">
        <v>4.92</v>
      </c>
      <c r="BS69" s="111"/>
      <c r="BT69" s="111">
        <v>7.09</v>
      </c>
      <c r="BU69" s="111">
        <v>29.0</v>
      </c>
      <c r="BV69" s="111"/>
      <c r="BW69" s="111"/>
      <c r="BX69" s="111"/>
      <c r="BY69" s="111"/>
      <c r="BZ69" s="142"/>
      <c r="CA69" s="111"/>
      <c r="CB69" s="111">
        <v>4.0</v>
      </c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111">
        <v>5203.0</v>
      </c>
      <c r="CS69" s="111">
        <v>0.0</v>
      </c>
      <c r="CT69" s="111">
        <f t="shared" si="10"/>
        <v>52.03</v>
      </c>
      <c r="CU69" s="111"/>
      <c r="CV69" s="111">
        <v>0.0</v>
      </c>
      <c r="CW69" s="111"/>
      <c r="CX69" s="111"/>
      <c r="CY69" s="111"/>
      <c r="CZ69" s="111">
        <v>1750.0</v>
      </c>
      <c r="DA69" s="111">
        <v>97.0</v>
      </c>
      <c r="DB69" s="111">
        <v>2.0</v>
      </c>
      <c r="DC69" s="111">
        <v>2.0</v>
      </c>
      <c r="DD69" s="111">
        <v>0.1</v>
      </c>
      <c r="DE69" s="111">
        <v>1.1</v>
      </c>
      <c r="DF69" s="111">
        <f t="shared" si="8"/>
        <v>33.63444167</v>
      </c>
      <c r="DG69" s="111"/>
      <c r="DH69" s="111"/>
      <c r="DI69" s="111"/>
      <c r="DJ69" s="111"/>
      <c r="DK69" s="111"/>
      <c r="DL69" s="111"/>
      <c r="DM69" s="111">
        <v>0.0</v>
      </c>
      <c r="DN69" s="149">
        <f t="shared" si="9"/>
        <v>323.64</v>
      </c>
      <c r="DO69" s="149">
        <v>0.0</v>
      </c>
      <c r="DP69" s="111"/>
      <c r="DQ69" s="111"/>
      <c r="DR69" s="111"/>
      <c r="DS69" s="111"/>
      <c r="DT69" s="111"/>
      <c r="DU69" s="111"/>
      <c r="DV69" s="111"/>
      <c r="DW69" s="111">
        <v>6132.0</v>
      </c>
      <c r="DX69" s="146">
        <f t="shared" si="11"/>
        <v>3.504</v>
      </c>
      <c r="DY69" s="111">
        <v>45.0</v>
      </c>
      <c r="DZ69" s="111"/>
      <c r="EA69" s="111"/>
      <c r="EB69" s="111"/>
      <c r="EC69" s="111"/>
      <c r="ED69" s="111">
        <v>14.0</v>
      </c>
      <c r="EE69" s="111"/>
      <c r="EF69" s="111"/>
      <c r="EG69" s="111"/>
      <c r="EH69" s="111"/>
      <c r="EI69" s="111"/>
      <c r="EJ69" s="111"/>
      <c r="EK69" s="147"/>
      <c r="EL69" s="111"/>
    </row>
    <row r="70" ht="17.25" customHeight="1">
      <c r="A70" s="148">
        <v>45979.0</v>
      </c>
      <c r="B70" s="111">
        <v>0.0</v>
      </c>
      <c r="C70" s="111"/>
      <c r="D70" s="111"/>
      <c r="E70" s="111">
        <v>100.0</v>
      </c>
      <c r="F70" s="111">
        <v>28.82</v>
      </c>
      <c r="G70" s="111">
        <v>77.48</v>
      </c>
      <c r="H70" s="111"/>
      <c r="I70" s="111"/>
      <c r="J70" s="111"/>
      <c r="K70" s="111"/>
      <c r="L70" s="111"/>
      <c r="M70" s="111">
        <v>12.03</v>
      </c>
      <c r="N70" s="111">
        <v>73.15</v>
      </c>
      <c r="O70" s="111">
        <v>5.57</v>
      </c>
      <c r="P70" s="111"/>
      <c r="Q70" s="111">
        <v>12.03</v>
      </c>
      <c r="R70" s="111">
        <v>73.15</v>
      </c>
      <c r="S70" s="111"/>
      <c r="T70" s="111">
        <v>9.64</v>
      </c>
      <c r="U70" s="111">
        <v>54.35</v>
      </c>
      <c r="V70" s="111"/>
      <c r="W70" s="111">
        <v>12.03</v>
      </c>
      <c r="X70" s="111">
        <v>73.15</v>
      </c>
      <c r="Y70" s="111"/>
      <c r="Z70" s="111">
        <v>9.71</v>
      </c>
      <c r="AA70" s="111">
        <v>54.27</v>
      </c>
      <c r="AB70" s="111"/>
      <c r="AC70" s="111">
        <v>12.03</v>
      </c>
      <c r="AD70" s="111">
        <v>73.15</v>
      </c>
      <c r="AE70" s="111"/>
      <c r="AF70" s="111">
        <v>9.71</v>
      </c>
      <c r="AG70" s="111">
        <v>52.21</v>
      </c>
      <c r="AH70" s="111"/>
      <c r="AI70" s="111"/>
      <c r="AJ70" s="111"/>
      <c r="AK70" s="111"/>
      <c r="AL70" s="111">
        <v>5.24</v>
      </c>
      <c r="AM70" s="111"/>
      <c r="AN70" s="111">
        <v>7.06</v>
      </c>
      <c r="AO70" s="111">
        <v>31.5</v>
      </c>
      <c r="AP70" s="111">
        <v>0.0</v>
      </c>
      <c r="AQ70" s="111">
        <v>0.0</v>
      </c>
      <c r="AR70" s="111">
        <v>0.0</v>
      </c>
      <c r="AS70" s="111"/>
      <c r="AT70" s="142"/>
      <c r="AU70" s="142"/>
      <c r="AV70" s="111">
        <v>12.0</v>
      </c>
      <c r="AW70" s="111"/>
      <c r="AX70" s="111"/>
      <c r="AY70" s="111"/>
      <c r="AZ70" s="111"/>
      <c r="BA70" s="111"/>
      <c r="BB70" s="111">
        <v>5.27</v>
      </c>
      <c r="BC70" s="111"/>
      <c r="BD70" s="111">
        <v>7.07</v>
      </c>
      <c r="BE70" s="111">
        <v>31.5</v>
      </c>
      <c r="BF70" s="111"/>
      <c r="BG70" s="111"/>
      <c r="BH70" s="111"/>
      <c r="BI70" s="111"/>
      <c r="BJ70" s="142"/>
      <c r="BK70" s="111"/>
      <c r="BL70" s="111">
        <v>4.0</v>
      </c>
      <c r="BM70" s="111"/>
      <c r="BN70" s="111"/>
      <c r="BO70" s="111"/>
      <c r="BP70" s="111"/>
      <c r="BQ70" s="111"/>
      <c r="BR70" s="111">
        <v>5.07</v>
      </c>
      <c r="BS70" s="111"/>
      <c r="BT70" s="111">
        <v>7.11</v>
      </c>
      <c r="BU70" s="111">
        <v>29.0</v>
      </c>
      <c r="BV70" s="111"/>
      <c r="BW70" s="111"/>
      <c r="BX70" s="111"/>
      <c r="BY70" s="111"/>
      <c r="BZ70" s="142"/>
      <c r="CA70" s="111"/>
      <c r="CB70" s="111">
        <v>4.0</v>
      </c>
      <c r="CC70" s="111"/>
      <c r="CD70" s="111"/>
      <c r="CE70" s="111"/>
      <c r="CF70" s="111"/>
      <c r="CG70" s="111"/>
      <c r="CH70" s="111"/>
      <c r="CI70" s="111"/>
      <c r="CJ70" s="111"/>
      <c r="CK70" s="111"/>
      <c r="CL70" s="111"/>
      <c r="CM70" s="111"/>
      <c r="CN70" s="111"/>
      <c r="CO70" s="111"/>
      <c r="CP70" s="111"/>
      <c r="CQ70" s="111"/>
      <c r="CR70" s="111">
        <v>5240.0</v>
      </c>
      <c r="CS70" s="111">
        <v>0.0</v>
      </c>
      <c r="CT70" s="111">
        <f t="shared" si="10"/>
        <v>52.4</v>
      </c>
      <c r="CU70" s="111"/>
      <c r="CV70" s="111">
        <v>42.0</v>
      </c>
      <c r="CW70" s="111"/>
      <c r="CX70" s="111"/>
      <c r="CY70" s="111"/>
      <c r="CZ70" s="111">
        <v>1867.0</v>
      </c>
      <c r="DA70" s="111">
        <v>95.606</v>
      </c>
      <c r="DB70" s="111">
        <v>3.207222222</v>
      </c>
      <c r="DC70" s="111">
        <v>3.0</v>
      </c>
      <c r="DD70" s="111">
        <v>0.1</v>
      </c>
      <c r="DE70" s="111">
        <v>1.0</v>
      </c>
      <c r="DF70" s="111">
        <f t="shared" si="8"/>
        <v>35.62977099</v>
      </c>
      <c r="DG70" s="111"/>
      <c r="DH70" s="111"/>
      <c r="DI70" s="111"/>
      <c r="DJ70" s="111"/>
      <c r="DK70" s="111"/>
      <c r="DL70" s="111"/>
      <c r="DM70" s="111">
        <v>4.0</v>
      </c>
      <c r="DN70" s="149">
        <f t="shared" si="9"/>
        <v>327.64</v>
      </c>
      <c r="DO70" s="149">
        <v>0.0</v>
      </c>
      <c r="DP70" s="111"/>
      <c r="DQ70" s="111"/>
      <c r="DR70" s="111"/>
      <c r="DS70" s="111"/>
      <c r="DT70" s="111"/>
      <c r="DU70" s="111"/>
      <c r="DV70" s="111"/>
      <c r="DW70" s="111">
        <v>4452.0</v>
      </c>
      <c r="DX70" s="146">
        <f t="shared" si="11"/>
        <v>2.384574183</v>
      </c>
      <c r="DY70" s="111">
        <v>45.0</v>
      </c>
      <c r="DZ70" s="111"/>
      <c r="EA70" s="111"/>
      <c r="EB70" s="111"/>
      <c r="EC70" s="111"/>
      <c r="ED70" s="111">
        <v>14.15</v>
      </c>
      <c r="EE70" s="111"/>
      <c r="EF70" s="111"/>
      <c r="EG70" s="111"/>
      <c r="EH70" s="111"/>
      <c r="EI70" s="111"/>
      <c r="EJ70" s="111"/>
      <c r="EK70" s="147"/>
      <c r="EL70" s="111"/>
    </row>
    <row r="71" ht="17.25" customHeight="1">
      <c r="A71" s="148">
        <v>45980.0</v>
      </c>
      <c r="B71" s="111">
        <v>0.0</v>
      </c>
      <c r="C71" s="111"/>
      <c r="D71" s="111"/>
      <c r="E71" s="111">
        <v>100.0</v>
      </c>
      <c r="F71" s="111">
        <v>29.9</v>
      </c>
      <c r="G71" s="111">
        <v>73.11</v>
      </c>
      <c r="H71" s="111"/>
      <c r="I71" s="111"/>
      <c r="J71" s="111"/>
      <c r="K71" s="111"/>
      <c r="L71" s="111"/>
      <c r="M71" s="111">
        <v>12.62</v>
      </c>
      <c r="N71" s="111">
        <v>71.71</v>
      </c>
      <c r="O71" s="111">
        <v>5.37</v>
      </c>
      <c r="P71" s="111"/>
      <c r="Q71" s="111">
        <v>12.62</v>
      </c>
      <c r="R71" s="111">
        <v>71.71</v>
      </c>
      <c r="S71" s="111"/>
      <c r="T71" s="111">
        <v>9.4</v>
      </c>
      <c r="U71" s="111">
        <v>55.53</v>
      </c>
      <c r="V71" s="111"/>
      <c r="W71" s="111">
        <v>12.62</v>
      </c>
      <c r="X71" s="111">
        <v>71.71</v>
      </c>
      <c r="Y71" s="111"/>
      <c r="Z71" s="111">
        <v>9.63</v>
      </c>
      <c r="AA71" s="111">
        <v>55.34</v>
      </c>
      <c r="AB71" s="111"/>
      <c r="AC71" s="111">
        <v>12.62</v>
      </c>
      <c r="AD71" s="111">
        <v>71.71</v>
      </c>
      <c r="AE71" s="111"/>
      <c r="AF71" s="111">
        <v>9.29</v>
      </c>
      <c r="AG71" s="111">
        <v>52.74</v>
      </c>
      <c r="AH71" s="111"/>
      <c r="AI71" s="111"/>
      <c r="AJ71" s="111"/>
      <c r="AK71" s="111"/>
      <c r="AL71" s="111">
        <v>5.22</v>
      </c>
      <c r="AM71" s="111"/>
      <c r="AN71" s="111">
        <v>6.79</v>
      </c>
      <c r="AO71" s="111">
        <v>32.0</v>
      </c>
      <c r="AP71" s="111">
        <v>0.0</v>
      </c>
      <c r="AQ71" s="111">
        <v>0.0</v>
      </c>
      <c r="AR71" s="111">
        <v>0.0</v>
      </c>
      <c r="AS71" s="111"/>
      <c r="AT71" s="142"/>
      <c r="AU71" s="142"/>
      <c r="AV71" s="111">
        <v>12.0</v>
      </c>
      <c r="AW71" s="111"/>
      <c r="AX71" s="111"/>
      <c r="AY71" s="111"/>
      <c r="AZ71" s="111"/>
      <c r="BA71" s="111"/>
      <c r="BB71" s="111">
        <v>5.33</v>
      </c>
      <c r="BC71" s="111"/>
      <c r="BD71" s="111">
        <v>6.75</v>
      </c>
      <c r="BE71" s="111">
        <v>32.0</v>
      </c>
      <c r="BF71" s="111"/>
      <c r="BG71" s="111"/>
      <c r="BH71" s="111"/>
      <c r="BI71" s="111"/>
      <c r="BJ71" s="142"/>
      <c r="BK71" s="111"/>
      <c r="BL71" s="111">
        <v>4.0</v>
      </c>
      <c r="BM71" s="111"/>
      <c r="BN71" s="111"/>
      <c r="BO71" s="111"/>
      <c r="BP71" s="111"/>
      <c r="BQ71" s="111"/>
      <c r="BR71" s="111">
        <v>4.9</v>
      </c>
      <c r="BS71" s="111"/>
      <c r="BT71" s="111">
        <v>7.04</v>
      </c>
      <c r="BU71" s="111">
        <v>29.5</v>
      </c>
      <c r="BV71" s="111"/>
      <c r="BW71" s="111"/>
      <c r="BX71" s="111"/>
      <c r="BY71" s="111"/>
      <c r="BZ71" s="142"/>
      <c r="CA71" s="111"/>
      <c r="CB71" s="111">
        <v>4.0</v>
      </c>
      <c r="CC71" s="111"/>
      <c r="CD71" s="111"/>
      <c r="CE71" s="111"/>
      <c r="CF71" s="111"/>
      <c r="CG71" s="111"/>
      <c r="CH71" s="111"/>
      <c r="CI71" s="111"/>
      <c r="CJ71" s="111"/>
      <c r="CK71" s="111"/>
      <c r="CL71" s="111"/>
      <c r="CM71" s="111"/>
      <c r="CN71" s="111"/>
      <c r="CO71" s="111"/>
      <c r="CP71" s="111"/>
      <c r="CQ71" s="111"/>
      <c r="CR71" s="111">
        <v>6201.0</v>
      </c>
      <c r="CS71" s="111">
        <v>0.0</v>
      </c>
      <c r="CT71" s="111">
        <f t="shared" si="10"/>
        <v>62.01</v>
      </c>
      <c r="CU71" s="111"/>
      <c r="CV71" s="111">
        <v>43.0</v>
      </c>
      <c r="CW71" s="111"/>
      <c r="CX71" s="111"/>
      <c r="CY71" s="111"/>
      <c r="CZ71" s="111">
        <v>2253.0</v>
      </c>
      <c r="DA71" s="111">
        <v>95.617</v>
      </c>
      <c r="DB71" s="111">
        <v>3.086</v>
      </c>
      <c r="DC71" s="111">
        <v>3.0</v>
      </c>
      <c r="DD71" s="111">
        <v>0.1</v>
      </c>
      <c r="DE71" s="111">
        <v>1.0</v>
      </c>
      <c r="DF71" s="111">
        <f t="shared" si="8"/>
        <v>36.33284954</v>
      </c>
      <c r="DG71" s="111"/>
      <c r="DH71" s="111"/>
      <c r="DI71" s="111"/>
      <c r="DJ71" s="111"/>
      <c r="DK71" s="111"/>
      <c r="DL71" s="111"/>
      <c r="DM71" s="111">
        <v>0.0</v>
      </c>
      <c r="DN71" s="149">
        <f t="shared" si="9"/>
        <v>327.64</v>
      </c>
      <c r="DO71" s="149">
        <v>32.0</v>
      </c>
      <c r="DP71" s="111"/>
      <c r="DQ71" s="111"/>
      <c r="DR71" s="111"/>
      <c r="DS71" s="111"/>
      <c r="DT71" s="111"/>
      <c r="DU71" s="111"/>
      <c r="DV71" s="111"/>
      <c r="DW71" s="111">
        <v>4725.0</v>
      </c>
      <c r="DX71" s="146">
        <f t="shared" si="11"/>
        <v>2.097203728</v>
      </c>
      <c r="DY71" s="111">
        <v>45.0</v>
      </c>
      <c r="DZ71" s="111"/>
      <c r="EA71" s="111"/>
      <c r="EB71" s="111"/>
      <c r="EC71" s="111"/>
      <c r="ED71" s="111">
        <v>17.3</v>
      </c>
      <c r="EE71" s="111"/>
      <c r="EF71" s="111"/>
      <c r="EG71" s="111"/>
      <c r="EH71" s="111"/>
      <c r="EI71" s="111"/>
      <c r="EJ71" s="111"/>
      <c r="EK71" s="147"/>
      <c r="EL71" s="111"/>
    </row>
    <row r="72" ht="17.25" customHeight="1">
      <c r="A72" s="148">
        <v>45981.0</v>
      </c>
      <c r="B72" s="111">
        <v>0.0</v>
      </c>
      <c r="C72" s="111"/>
      <c r="D72" s="111"/>
      <c r="E72" s="111">
        <v>100.0</v>
      </c>
      <c r="F72" s="111">
        <v>27.91</v>
      </c>
      <c r="G72" s="111">
        <v>78.82</v>
      </c>
      <c r="H72" s="111"/>
      <c r="I72" s="111"/>
      <c r="J72" s="111"/>
      <c r="K72" s="111"/>
      <c r="L72" s="111"/>
      <c r="M72" s="111">
        <v>0.0</v>
      </c>
      <c r="N72" s="111">
        <v>0.0</v>
      </c>
      <c r="O72" s="111">
        <v>0.0</v>
      </c>
      <c r="P72" s="111"/>
      <c r="Q72" s="111">
        <v>0.0</v>
      </c>
      <c r="R72" s="111">
        <v>0.0</v>
      </c>
      <c r="S72" s="111"/>
      <c r="T72" s="111">
        <v>9.54</v>
      </c>
      <c r="U72" s="111">
        <v>54.82</v>
      </c>
      <c r="V72" s="111"/>
      <c r="W72" s="111">
        <v>0.0</v>
      </c>
      <c r="X72" s="111">
        <v>0.0</v>
      </c>
      <c r="Y72" s="111"/>
      <c r="Z72" s="111">
        <v>9.73</v>
      </c>
      <c r="AA72" s="111">
        <v>53.34</v>
      </c>
      <c r="AB72" s="111"/>
      <c r="AC72" s="111">
        <v>0.0</v>
      </c>
      <c r="AD72" s="111">
        <v>0.0</v>
      </c>
      <c r="AE72" s="111"/>
      <c r="AF72" s="111">
        <v>9.57</v>
      </c>
      <c r="AG72" s="111">
        <v>50.47</v>
      </c>
      <c r="AH72" s="111"/>
      <c r="AI72" s="111"/>
      <c r="AJ72" s="111"/>
      <c r="AK72" s="111"/>
      <c r="AL72" s="111">
        <v>5.23</v>
      </c>
      <c r="AM72" s="111"/>
      <c r="AN72" s="111">
        <v>6.87</v>
      </c>
      <c r="AO72" s="111">
        <v>32.0</v>
      </c>
      <c r="AP72" s="111">
        <v>0.0</v>
      </c>
      <c r="AQ72" s="111">
        <v>0.0</v>
      </c>
      <c r="AR72" s="111">
        <v>0.0</v>
      </c>
      <c r="AS72" s="111"/>
      <c r="AT72" s="142"/>
      <c r="AU72" s="142"/>
      <c r="AV72" s="111">
        <v>12.0</v>
      </c>
      <c r="AW72" s="111"/>
      <c r="AX72" s="111"/>
      <c r="AY72" s="111"/>
      <c r="AZ72" s="111"/>
      <c r="BA72" s="111"/>
      <c r="BB72" s="111">
        <v>5.19</v>
      </c>
      <c r="BC72" s="111"/>
      <c r="BD72" s="111">
        <v>6.84</v>
      </c>
      <c r="BE72" s="111">
        <v>32.0</v>
      </c>
      <c r="BF72" s="111"/>
      <c r="BG72" s="111"/>
      <c r="BH72" s="111"/>
      <c r="BI72" s="111"/>
      <c r="BJ72" s="142"/>
      <c r="BK72" s="111"/>
      <c r="BL72" s="111">
        <v>4.0</v>
      </c>
      <c r="BM72" s="111"/>
      <c r="BN72" s="111"/>
      <c r="BO72" s="111"/>
      <c r="BP72" s="111"/>
      <c r="BQ72" s="111"/>
      <c r="BR72" s="111">
        <v>4.83</v>
      </c>
      <c r="BS72" s="111"/>
      <c r="BT72" s="111">
        <v>7.05</v>
      </c>
      <c r="BU72" s="111">
        <v>29.5</v>
      </c>
      <c r="BV72" s="111"/>
      <c r="BW72" s="111"/>
      <c r="BX72" s="111"/>
      <c r="BY72" s="111"/>
      <c r="BZ72" s="142"/>
      <c r="CA72" s="111"/>
      <c r="CB72" s="111">
        <v>4.0</v>
      </c>
      <c r="CC72" s="111"/>
      <c r="CD72" s="111"/>
      <c r="CE72" s="111"/>
      <c r="CF72" s="111"/>
      <c r="CG72" s="111"/>
      <c r="CH72" s="111"/>
      <c r="CI72" s="111"/>
      <c r="CJ72" s="111"/>
      <c r="CK72" s="111"/>
      <c r="CL72" s="111"/>
      <c r="CM72" s="111"/>
      <c r="CN72" s="111"/>
      <c r="CO72" s="111"/>
      <c r="CP72" s="111"/>
      <c r="CQ72" s="111"/>
      <c r="CR72" s="111">
        <v>8067.0</v>
      </c>
      <c r="CS72" s="111">
        <v>0.0</v>
      </c>
      <c r="CT72" s="111">
        <f t="shared" si="10"/>
        <v>80.67</v>
      </c>
      <c r="CU72" s="111"/>
      <c r="CV72" s="111">
        <v>45.0</v>
      </c>
      <c r="CW72" s="111"/>
      <c r="CX72" s="111"/>
      <c r="CY72" s="111"/>
      <c r="CZ72" s="111">
        <v>2778.0</v>
      </c>
      <c r="DA72" s="111">
        <v>95.744</v>
      </c>
      <c r="DB72" s="111">
        <v>3.106</v>
      </c>
      <c r="DC72" s="111">
        <v>3.0</v>
      </c>
      <c r="DD72" s="111">
        <v>0.1</v>
      </c>
      <c r="DE72" s="111">
        <v>1.0</v>
      </c>
      <c r="DF72" s="111">
        <f t="shared" si="8"/>
        <v>34.43659353</v>
      </c>
      <c r="DG72" s="111"/>
      <c r="DH72" s="111"/>
      <c r="DI72" s="111"/>
      <c r="DJ72" s="111"/>
      <c r="DK72" s="111"/>
      <c r="DL72" s="111"/>
      <c r="DM72" s="111">
        <v>2.4</v>
      </c>
      <c r="DN72" s="149">
        <f t="shared" si="9"/>
        <v>298.04</v>
      </c>
      <c r="DO72" s="149">
        <v>0.0</v>
      </c>
      <c r="DP72" s="111"/>
      <c r="DQ72" s="111"/>
      <c r="DR72" s="111"/>
      <c r="DS72" s="111"/>
      <c r="DT72" s="111"/>
      <c r="DU72" s="111"/>
      <c r="DV72" s="111"/>
      <c r="DW72" s="111">
        <v>6015.0</v>
      </c>
      <c r="DX72" s="146">
        <f t="shared" si="11"/>
        <v>2.165226782</v>
      </c>
      <c r="DY72" s="111">
        <v>45.0</v>
      </c>
      <c r="DZ72" s="111"/>
      <c r="EA72" s="111"/>
      <c r="EB72" s="111"/>
      <c r="EC72" s="111"/>
      <c r="ED72" s="111">
        <v>22.3</v>
      </c>
      <c r="EE72" s="111"/>
      <c r="EF72" s="111"/>
      <c r="EG72" s="111"/>
      <c r="EH72" s="111"/>
      <c r="EI72" s="111"/>
      <c r="EJ72" s="111"/>
      <c r="EK72" s="147"/>
      <c r="EL72" s="111"/>
    </row>
    <row r="73" ht="17.25" customHeight="1">
      <c r="A73" s="148">
        <v>45982.0</v>
      </c>
      <c r="B73" s="111">
        <v>0.0</v>
      </c>
      <c r="C73" s="111"/>
      <c r="D73" s="111"/>
      <c r="E73" s="111">
        <v>90.0</v>
      </c>
      <c r="F73" s="111">
        <v>0.0</v>
      </c>
      <c r="G73" s="111">
        <v>0.0</v>
      </c>
      <c r="H73" s="111"/>
      <c r="I73" s="111"/>
      <c r="J73" s="111"/>
      <c r="K73" s="111"/>
      <c r="L73" s="111"/>
      <c r="M73" s="111">
        <v>0.0</v>
      </c>
      <c r="N73" s="111">
        <v>0.0</v>
      </c>
      <c r="O73" s="111">
        <v>0.0</v>
      </c>
      <c r="P73" s="111"/>
      <c r="Q73" s="111">
        <v>0.0</v>
      </c>
      <c r="R73" s="111">
        <v>0.0</v>
      </c>
      <c r="S73" s="111"/>
      <c r="T73" s="111">
        <v>0.0</v>
      </c>
      <c r="U73" s="111">
        <v>0.0</v>
      </c>
      <c r="V73" s="111"/>
      <c r="W73" s="111">
        <v>0.0</v>
      </c>
      <c r="X73" s="111">
        <v>0.0</v>
      </c>
      <c r="Y73" s="111"/>
      <c r="Z73" s="111">
        <v>0.0</v>
      </c>
      <c r="AA73" s="111">
        <v>0.0</v>
      </c>
      <c r="AB73" s="111"/>
      <c r="AC73" s="111">
        <v>0.0</v>
      </c>
      <c r="AD73" s="111">
        <v>0.0</v>
      </c>
      <c r="AE73" s="111"/>
      <c r="AF73" s="111">
        <v>0.0</v>
      </c>
      <c r="AG73" s="111">
        <v>0.0</v>
      </c>
      <c r="AH73" s="111"/>
      <c r="AI73" s="111"/>
      <c r="AJ73" s="111"/>
      <c r="AK73" s="111"/>
      <c r="AL73" s="111">
        <v>0.0</v>
      </c>
      <c r="AM73" s="111"/>
      <c r="AN73" s="111">
        <v>0.0</v>
      </c>
      <c r="AO73" s="111">
        <v>0.0</v>
      </c>
      <c r="AP73" s="111">
        <v>0.0</v>
      </c>
      <c r="AQ73" s="111">
        <v>0.0</v>
      </c>
      <c r="AR73" s="111">
        <v>0.0</v>
      </c>
      <c r="AS73" s="111"/>
      <c r="AT73" s="142"/>
      <c r="AU73" s="142"/>
      <c r="AV73" s="111">
        <v>12.0</v>
      </c>
      <c r="AW73" s="111"/>
      <c r="AX73" s="111"/>
      <c r="AY73" s="111"/>
      <c r="AZ73" s="111"/>
      <c r="BA73" s="111"/>
      <c r="BB73" s="111">
        <v>0.0</v>
      </c>
      <c r="BC73" s="111"/>
      <c r="BD73" s="111">
        <v>0.0</v>
      </c>
      <c r="BE73" s="111">
        <v>0.0</v>
      </c>
      <c r="BF73" s="111"/>
      <c r="BG73" s="111"/>
      <c r="BH73" s="111"/>
      <c r="BI73" s="111"/>
      <c r="BJ73" s="142"/>
      <c r="BK73" s="111"/>
      <c r="BL73" s="111">
        <v>4.0</v>
      </c>
      <c r="BM73" s="111"/>
      <c r="BN73" s="111"/>
      <c r="BO73" s="111"/>
      <c r="BP73" s="111"/>
      <c r="BQ73" s="111"/>
      <c r="BR73" s="111">
        <v>0.0</v>
      </c>
      <c r="BS73" s="111"/>
      <c r="BT73" s="111">
        <v>0.0</v>
      </c>
      <c r="BU73" s="111">
        <v>0.0</v>
      </c>
      <c r="BV73" s="111"/>
      <c r="BW73" s="111"/>
      <c r="BX73" s="111"/>
      <c r="BY73" s="111"/>
      <c r="BZ73" s="142"/>
      <c r="CA73" s="111"/>
      <c r="CB73" s="111">
        <v>4.0</v>
      </c>
      <c r="CC73" s="111"/>
      <c r="CD73" s="111"/>
      <c r="CE73" s="111"/>
      <c r="CF73" s="111"/>
      <c r="CG73" s="111"/>
      <c r="CH73" s="111"/>
      <c r="CI73" s="111"/>
      <c r="CJ73" s="111"/>
      <c r="CK73" s="111"/>
      <c r="CL73" s="111"/>
      <c r="CM73" s="111"/>
      <c r="CN73" s="111"/>
      <c r="CO73" s="111"/>
      <c r="CP73" s="111"/>
      <c r="CQ73" s="111"/>
      <c r="CR73" s="111">
        <v>4799.0</v>
      </c>
      <c r="CS73" s="111">
        <v>0.0</v>
      </c>
      <c r="CT73" s="111">
        <f t="shared" si="10"/>
        <v>53.32222222</v>
      </c>
      <c r="CU73" s="111"/>
      <c r="CV73" s="111">
        <v>44.0</v>
      </c>
      <c r="CW73" s="111"/>
      <c r="CX73" s="111"/>
      <c r="CY73" s="111"/>
      <c r="CZ73" s="111">
        <v>1555.0</v>
      </c>
      <c r="DA73" s="111">
        <v>95.449</v>
      </c>
      <c r="DB73" s="111">
        <v>3.255</v>
      </c>
      <c r="DC73" s="111">
        <v>2.0</v>
      </c>
      <c r="DD73" s="111">
        <v>0.1</v>
      </c>
      <c r="DE73" s="111">
        <v>1.1</v>
      </c>
      <c r="DF73" s="111">
        <f t="shared" si="8"/>
        <v>32.40258387</v>
      </c>
      <c r="DG73" s="111"/>
      <c r="DH73" s="111"/>
      <c r="DI73" s="111"/>
      <c r="DJ73" s="111"/>
      <c r="DK73" s="111"/>
      <c r="DL73" s="111"/>
      <c r="DM73" s="111">
        <v>2.0</v>
      </c>
      <c r="DN73" s="149">
        <f t="shared" si="9"/>
        <v>300.04</v>
      </c>
      <c r="DO73" s="149">
        <v>0.0</v>
      </c>
      <c r="DP73" s="111"/>
      <c r="DQ73" s="111"/>
      <c r="DR73" s="111"/>
      <c r="DS73" s="111"/>
      <c r="DT73" s="111"/>
      <c r="DU73" s="111"/>
      <c r="DV73" s="111"/>
      <c r="DW73" s="111">
        <v>4905.0</v>
      </c>
      <c r="DX73" s="146">
        <f t="shared" si="11"/>
        <v>3.154340836</v>
      </c>
      <c r="DY73" s="111">
        <v>45.0</v>
      </c>
      <c r="DZ73" s="111"/>
      <c r="EA73" s="111"/>
      <c r="EB73" s="111"/>
      <c r="EC73" s="111"/>
      <c r="ED73" s="111">
        <v>14.35</v>
      </c>
      <c r="EE73" s="111"/>
      <c r="EF73" s="111"/>
      <c r="EG73" s="111"/>
      <c r="EH73" s="111"/>
      <c r="EI73" s="111"/>
      <c r="EJ73" s="111"/>
      <c r="EK73" s="147"/>
      <c r="EL73" s="111"/>
    </row>
    <row r="74" ht="17.25" customHeight="1">
      <c r="A74" s="148">
        <v>45983.0</v>
      </c>
      <c r="B74" s="111">
        <v>0.0</v>
      </c>
      <c r="C74" s="111"/>
      <c r="D74" s="111"/>
      <c r="E74" s="111">
        <v>100.0</v>
      </c>
      <c r="F74" s="111">
        <v>27.85</v>
      </c>
      <c r="G74" s="111">
        <v>81.83</v>
      </c>
      <c r="H74" s="111"/>
      <c r="I74" s="111"/>
      <c r="J74" s="111"/>
      <c r="K74" s="111"/>
      <c r="L74" s="111"/>
      <c r="M74" s="111">
        <v>11.96</v>
      </c>
      <c r="N74" s="111">
        <v>72.82</v>
      </c>
      <c r="O74" s="111">
        <v>5.39</v>
      </c>
      <c r="P74" s="111"/>
      <c r="Q74" s="111">
        <v>11.96</v>
      </c>
      <c r="R74" s="111">
        <v>72.82</v>
      </c>
      <c r="S74" s="111"/>
      <c r="T74" s="111">
        <v>9.77</v>
      </c>
      <c r="U74" s="111">
        <v>58.23</v>
      </c>
      <c r="V74" s="111"/>
      <c r="W74" s="111">
        <v>11.96</v>
      </c>
      <c r="X74" s="111">
        <v>72.82</v>
      </c>
      <c r="Y74" s="111"/>
      <c r="Z74" s="111">
        <v>9.75</v>
      </c>
      <c r="AA74" s="111">
        <v>56.3</v>
      </c>
      <c r="AB74" s="111"/>
      <c r="AC74" s="111">
        <v>11.96</v>
      </c>
      <c r="AD74" s="111">
        <v>72.82</v>
      </c>
      <c r="AE74" s="111"/>
      <c r="AF74" s="111">
        <v>9.47</v>
      </c>
      <c r="AG74" s="111">
        <v>53.43</v>
      </c>
      <c r="AH74" s="111"/>
      <c r="AI74" s="111"/>
      <c r="AJ74" s="111"/>
      <c r="AK74" s="111"/>
      <c r="AL74" s="111">
        <v>5.69</v>
      </c>
      <c r="AM74" s="111"/>
      <c r="AN74" s="111">
        <v>7.02</v>
      </c>
      <c r="AO74" s="111">
        <v>32.0</v>
      </c>
      <c r="AP74" s="111">
        <v>0.0</v>
      </c>
      <c r="AQ74" s="111">
        <v>0.0</v>
      </c>
      <c r="AR74" s="111">
        <v>0.0</v>
      </c>
      <c r="AS74" s="111"/>
      <c r="AT74" s="142"/>
      <c r="AU74" s="142"/>
      <c r="AV74" s="111">
        <v>12.0</v>
      </c>
      <c r="AW74" s="111"/>
      <c r="AX74" s="111"/>
      <c r="AY74" s="111"/>
      <c r="AZ74" s="111"/>
      <c r="BA74" s="111"/>
      <c r="BB74" s="111">
        <v>5.49</v>
      </c>
      <c r="BC74" s="111"/>
      <c r="BD74" s="111">
        <v>7.03</v>
      </c>
      <c r="BE74" s="111">
        <v>32.0</v>
      </c>
      <c r="BF74" s="111"/>
      <c r="BG74" s="111"/>
      <c r="BH74" s="111"/>
      <c r="BI74" s="111"/>
      <c r="BJ74" s="142"/>
      <c r="BK74" s="111"/>
      <c r="BL74" s="111">
        <v>4.0</v>
      </c>
      <c r="BM74" s="111"/>
      <c r="BN74" s="111"/>
      <c r="BO74" s="111"/>
      <c r="BP74" s="111"/>
      <c r="BQ74" s="111"/>
      <c r="BR74" s="111">
        <v>5.06</v>
      </c>
      <c r="BS74" s="111"/>
      <c r="BT74" s="111">
        <v>7.05</v>
      </c>
      <c r="BU74" s="111">
        <v>29.5</v>
      </c>
      <c r="BV74" s="111"/>
      <c r="BW74" s="111"/>
      <c r="BX74" s="111"/>
      <c r="BY74" s="111"/>
      <c r="BZ74" s="142"/>
      <c r="CA74" s="111"/>
      <c r="CB74" s="111">
        <v>4.0</v>
      </c>
      <c r="CC74" s="111"/>
      <c r="CD74" s="111"/>
      <c r="CE74" s="111"/>
      <c r="CF74" s="111"/>
      <c r="CG74" s="111"/>
      <c r="CH74" s="111"/>
      <c r="CI74" s="111"/>
      <c r="CJ74" s="111"/>
      <c r="CK74" s="111"/>
      <c r="CL74" s="111"/>
      <c r="CM74" s="111"/>
      <c r="CN74" s="111"/>
      <c r="CO74" s="111"/>
      <c r="CP74" s="111"/>
      <c r="CQ74" s="111"/>
      <c r="CR74" s="111">
        <v>3303.0</v>
      </c>
      <c r="CS74" s="111">
        <v>0.0</v>
      </c>
      <c r="CT74" s="111">
        <f t="shared" si="10"/>
        <v>33.03</v>
      </c>
      <c r="CU74" s="111"/>
      <c r="CV74" s="111">
        <v>0.0</v>
      </c>
      <c r="CW74" s="111"/>
      <c r="CX74" s="111"/>
      <c r="CY74" s="111"/>
      <c r="CZ74" s="111">
        <v>971.0</v>
      </c>
      <c r="DA74" s="18">
        <v>95.6</v>
      </c>
      <c r="DB74" s="18">
        <v>3.5</v>
      </c>
      <c r="DC74" s="111">
        <v>2.0</v>
      </c>
      <c r="DD74" s="145">
        <v>0.08</v>
      </c>
      <c r="DE74" s="145">
        <v>2.0</v>
      </c>
      <c r="DF74" s="111">
        <f t="shared" si="8"/>
        <v>29.39751741</v>
      </c>
      <c r="DG74" s="111"/>
      <c r="DH74" s="111"/>
      <c r="DI74" s="111"/>
      <c r="DJ74" s="111"/>
      <c r="DK74" s="111"/>
      <c r="DL74" s="111"/>
      <c r="DM74" s="111">
        <v>1.2</v>
      </c>
      <c r="DN74" s="149">
        <f t="shared" si="9"/>
        <v>301.24</v>
      </c>
      <c r="DO74" s="149">
        <v>0.0</v>
      </c>
      <c r="DP74" s="111"/>
      <c r="DQ74" s="111"/>
      <c r="DR74" s="111"/>
      <c r="DS74" s="111"/>
      <c r="DT74" s="111"/>
      <c r="DU74" s="111"/>
      <c r="DV74" s="111"/>
      <c r="DW74" s="111">
        <v>2810.0</v>
      </c>
      <c r="DX74" s="146">
        <f t="shared" si="11"/>
        <v>2.89392379</v>
      </c>
      <c r="DY74" s="111">
        <v>45.0</v>
      </c>
      <c r="DZ74" s="111"/>
      <c r="EA74" s="111"/>
      <c r="EB74" s="111"/>
      <c r="EC74" s="111"/>
      <c r="ED74" s="111">
        <v>7.0</v>
      </c>
      <c r="EE74" s="111"/>
      <c r="EF74" s="111"/>
      <c r="EG74" s="111"/>
      <c r="EH74" s="111"/>
      <c r="EI74" s="111"/>
      <c r="EJ74" s="111"/>
      <c r="EK74" s="147"/>
      <c r="EL74" s="111"/>
    </row>
    <row r="75" ht="17.25" customHeight="1">
      <c r="A75" s="148">
        <v>45984.0</v>
      </c>
      <c r="B75" s="111">
        <v>0.0</v>
      </c>
      <c r="C75" s="111"/>
      <c r="D75" s="111"/>
      <c r="E75" s="111">
        <v>100.0</v>
      </c>
      <c r="F75" s="111">
        <v>0.0</v>
      </c>
      <c r="G75" s="111">
        <v>0.0</v>
      </c>
      <c r="H75" s="111"/>
      <c r="I75" s="111"/>
      <c r="J75" s="111"/>
      <c r="K75" s="111"/>
      <c r="L75" s="111"/>
      <c r="M75" s="111">
        <v>0.0</v>
      </c>
      <c r="N75" s="111">
        <v>0.0</v>
      </c>
      <c r="O75" s="111">
        <v>0.0</v>
      </c>
      <c r="P75" s="111"/>
      <c r="Q75" s="111">
        <v>0.0</v>
      </c>
      <c r="R75" s="111">
        <v>0.0</v>
      </c>
      <c r="S75" s="111"/>
      <c r="T75" s="111">
        <v>0.0</v>
      </c>
      <c r="U75" s="111">
        <v>0.0</v>
      </c>
      <c r="V75" s="111"/>
      <c r="W75" s="111">
        <v>0.0</v>
      </c>
      <c r="X75" s="111">
        <v>0.0</v>
      </c>
      <c r="Y75" s="111"/>
      <c r="Z75" s="111">
        <v>0.0</v>
      </c>
      <c r="AA75" s="111">
        <v>0.0</v>
      </c>
      <c r="AB75" s="111"/>
      <c r="AC75" s="111">
        <v>0.0</v>
      </c>
      <c r="AD75" s="111">
        <v>0.0</v>
      </c>
      <c r="AE75" s="111"/>
      <c r="AF75" s="111">
        <v>0.0</v>
      </c>
      <c r="AG75" s="111">
        <v>0.0</v>
      </c>
      <c r="AH75" s="111"/>
      <c r="AI75" s="111"/>
      <c r="AJ75" s="111"/>
      <c r="AK75" s="111"/>
      <c r="AL75" s="111">
        <v>0.0</v>
      </c>
      <c r="AM75" s="111"/>
      <c r="AN75" s="111">
        <v>0.0</v>
      </c>
      <c r="AO75" s="111">
        <v>0.0</v>
      </c>
      <c r="AP75" s="111">
        <v>0.0</v>
      </c>
      <c r="AQ75" s="111">
        <v>0.0</v>
      </c>
      <c r="AR75" s="111">
        <v>0.0</v>
      </c>
      <c r="AS75" s="111"/>
      <c r="AT75" s="142"/>
      <c r="AU75" s="142"/>
      <c r="AV75" s="111">
        <v>12.0</v>
      </c>
      <c r="AW75" s="111"/>
      <c r="AX75" s="111"/>
      <c r="AY75" s="111"/>
      <c r="AZ75" s="111"/>
      <c r="BA75" s="111"/>
      <c r="BB75" s="111">
        <v>0.0</v>
      </c>
      <c r="BC75" s="111"/>
      <c r="BD75" s="111">
        <v>0.0</v>
      </c>
      <c r="BE75" s="111">
        <v>0.0</v>
      </c>
      <c r="BF75" s="111"/>
      <c r="BG75" s="111"/>
      <c r="BH75" s="111"/>
      <c r="BI75" s="111"/>
      <c r="BJ75" s="142"/>
      <c r="BK75" s="111"/>
      <c r="BL75" s="111">
        <v>4.0</v>
      </c>
      <c r="BM75" s="111"/>
      <c r="BN75" s="111"/>
      <c r="BO75" s="111"/>
      <c r="BP75" s="111"/>
      <c r="BQ75" s="111"/>
      <c r="BR75" s="111">
        <v>0.0</v>
      </c>
      <c r="BS75" s="111"/>
      <c r="BT75" s="111">
        <v>0.0</v>
      </c>
      <c r="BU75" s="111">
        <v>0.0</v>
      </c>
      <c r="BV75" s="111"/>
      <c r="BW75" s="111"/>
      <c r="BX75" s="111"/>
      <c r="BY75" s="111"/>
      <c r="BZ75" s="142"/>
      <c r="CA75" s="111"/>
      <c r="CB75" s="111">
        <v>4.0</v>
      </c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  <c r="CP75" s="111"/>
      <c r="CQ75" s="111"/>
      <c r="CR75" s="111">
        <v>8721.0</v>
      </c>
      <c r="CS75" s="111">
        <v>0.0</v>
      </c>
      <c r="CT75" s="111">
        <f t="shared" si="10"/>
        <v>87.21</v>
      </c>
      <c r="CU75" s="111"/>
      <c r="CV75" s="111">
        <v>0.0</v>
      </c>
      <c r="CW75" s="111"/>
      <c r="CX75" s="111"/>
      <c r="CY75" s="111"/>
      <c r="CZ75" s="111">
        <v>3441.0</v>
      </c>
      <c r="DA75" s="111">
        <v>96.4</v>
      </c>
      <c r="DB75" s="111">
        <v>2.1</v>
      </c>
      <c r="DC75" s="111">
        <v>2.0</v>
      </c>
      <c r="DD75" s="111">
        <v>0.08</v>
      </c>
      <c r="DE75" s="111">
        <v>2.0</v>
      </c>
      <c r="DF75" s="111">
        <f t="shared" si="8"/>
        <v>39.45648435</v>
      </c>
      <c r="DG75" s="111"/>
      <c r="DH75" s="111"/>
      <c r="DI75" s="111"/>
      <c r="DJ75" s="111"/>
      <c r="DK75" s="111"/>
      <c r="DL75" s="111"/>
      <c r="DM75" s="111">
        <v>5.0</v>
      </c>
      <c r="DN75" s="149">
        <f t="shared" si="9"/>
        <v>306.24</v>
      </c>
      <c r="DO75" s="149">
        <v>0.0</v>
      </c>
      <c r="DP75" s="111"/>
      <c r="DQ75" s="111"/>
      <c r="DR75" s="111"/>
      <c r="DS75" s="111"/>
      <c r="DT75" s="111"/>
      <c r="DU75" s="111"/>
      <c r="DV75" s="111"/>
      <c r="DW75" s="111">
        <v>7020.0</v>
      </c>
      <c r="DX75" s="146">
        <f t="shared" si="11"/>
        <v>2.040104621</v>
      </c>
      <c r="DY75" s="111">
        <v>45.0</v>
      </c>
      <c r="DZ75" s="111"/>
      <c r="EA75" s="111"/>
      <c r="EB75" s="111"/>
      <c r="EC75" s="111"/>
      <c r="ED75" s="111">
        <v>23.35</v>
      </c>
      <c r="EE75" s="111"/>
      <c r="EF75" s="111"/>
      <c r="EG75" s="111"/>
      <c r="EH75" s="111"/>
      <c r="EI75" s="111"/>
      <c r="EJ75" s="111"/>
      <c r="EK75" s="147"/>
      <c r="EL75" s="111"/>
    </row>
    <row r="76" ht="17.25" customHeight="1">
      <c r="A76" s="148">
        <v>45985.0</v>
      </c>
      <c r="B76" s="111">
        <v>0.0</v>
      </c>
      <c r="C76" s="111"/>
      <c r="D76" s="111"/>
      <c r="E76" s="111">
        <v>95.0</v>
      </c>
      <c r="F76" s="111">
        <v>0.0</v>
      </c>
      <c r="G76" s="111">
        <v>0.0</v>
      </c>
      <c r="H76" s="111"/>
      <c r="I76" s="111"/>
      <c r="J76" s="111"/>
      <c r="K76" s="111"/>
      <c r="L76" s="111"/>
      <c r="M76" s="111">
        <v>0.0</v>
      </c>
      <c r="N76" s="111">
        <v>0.0</v>
      </c>
      <c r="O76" s="111">
        <v>0.0</v>
      </c>
      <c r="P76" s="111"/>
      <c r="Q76" s="111">
        <v>0.0</v>
      </c>
      <c r="R76" s="111">
        <v>0.0</v>
      </c>
      <c r="S76" s="111"/>
      <c r="T76" s="111">
        <v>0.0</v>
      </c>
      <c r="U76" s="111">
        <v>0.0</v>
      </c>
      <c r="V76" s="111"/>
      <c r="W76" s="111">
        <v>0.0</v>
      </c>
      <c r="X76" s="111">
        <v>0.0</v>
      </c>
      <c r="Y76" s="111"/>
      <c r="Z76" s="111">
        <v>0.0</v>
      </c>
      <c r="AA76" s="111">
        <v>0.0</v>
      </c>
      <c r="AB76" s="111"/>
      <c r="AC76" s="111">
        <v>0.0</v>
      </c>
      <c r="AD76" s="111">
        <v>0.0</v>
      </c>
      <c r="AE76" s="111"/>
      <c r="AF76" s="111">
        <v>0.0</v>
      </c>
      <c r="AG76" s="111">
        <v>0.0</v>
      </c>
      <c r="AH76" s="111"/>
      <c r="AI76" s="111"/>
      <c r="AJ76" s="111"/>
      <c r="AK76" s="111"/>
      <c r="AL76" s="111">
        <v>0.0</v>
      </c>
      <c r="AM76" s="111"/>
      <c r="AN76" s="111">
        <v>0.0</v>
      </c>
      <c r="AO76" s="111">
        <v>0.0</v>
      </c>
      <c r="AP76" s="111">
        <v>0.0</v>
      </c>
      <c r="AQ76" s="111">
        <v>0.0</v>
      </c>
      <c r="AR76" s="111">
        <v>0.0</v>
      </c>
      <c r="AS76" s="111"/>
      <c r="AT76" s="142"/>
      <c r="AU76" s="142"/>
      <c r="AV76" s="111">
        <v>12.0</v>
      </c>
      <c r="AW76" s="111"/>
      <c r="AX76" s="111"/>
      <c r="AY76" s="111"/>
      <c r="AZ76" s="111"/>
      <c r="BA76" s="111"/>
      <c r="BB76" s="111">
        <v>0.0</v>
      </c>
      <c r="BC76" s="111"/>
      <c r="BD76" s="111">
        <v>0.0</v>
      </c>
      <c r="BE76" s="111">
        <v>0.0</v>
      </c>
      <c r="BF76" s="111"/>
      <c r="BG76" s="111"/>
      <c r="BH76" s="111"/>
      <c r="BI76" s="111"/>
      <c r="BJ76" s="142"/>
      <c r="BK76" s="111"/>
      <c r="BL76" s="111">
        <v>4.0</v>
      </c>
      <c r="BM76" s="111"/>
      <c r="BN76" s="111"/>
      <c r="BO76" s="111"/>
      <c r="BP76" s="111"/>
      <c r="BQ76" s="111"/>
      <c r="BR76" s="111">
        <v>0.0</v>
      </c>
      <c r="BS76" s="111"/>
      <c r="BT76" s="111">
        <v>0.0</v>
      </c>
      <c r="BU76" s="111">
        <v>0.0</v>
      </c>
      <c r="BV76" s="111"/>
      <c r="BW76" s="111"/>
      <c r="BX76" s="111"/>
      <c r="BY76" s="111"/>
      <c r="BZ76" s="142"/>
      <c r="CA76" s="111"/>
      <c r="CB76" s="111">
        <v>4.0</v>
      </c>
      <c r="CC76" s="111"/>
      <c r="CD76" s="111"/>
      <c r="CE76" s="111"/>
      <c r="CF76" s="111"/>
      <c r="CG76" s="111"/>
      <c r="CH76" s="111"/>
      <c r="CI76" s="111"/>
      <c r="CJ76" s="111"/>
      <c r="CK76" s="111"/>
      <c r="CL76" s="111"/>
      <c r="CM76" s="111"/>
      <c r="CN76" s="111"/>
      <c r="CO76" s="111"/>
      <c r="CP76" s="111"/>
      <c r="CQ76" s="111"/>
      <c r="CR76" s="111">
        <v>5753.0</v>
      </c>
      <c r="CS76" s="111">
        <v>0.0</v>
      </c>
      <c r="CT76" s="111">
        <f t="shared" si="10"/>
        <v>60.55789474</v>
      </c>
      <c r="CU76" s="111"/>
      <c r="CV76" s="111">
        <v>0.0</v>
      </c>
      <c r="CW76" s="111"/>
      <c r="CX76" s="111"/>
      <c r="CY76" s="111"/>
      <c r="CZ76" s="111">
        <v>2227.0</v>
      </c>
      <c r="DA76" s="18">
        <v>95.6</v>
      </c>
      <c r="DB76" s="18">
        <v>3.5</v>
      </c>
      <c r="DC76" s="111">
        <v>2.0</v>
      </c>
      <c r="DD76" s="18">
        <v>0.08</v>
      </c>
      <c r="DE76" s="145">
        <v>2.0</v>
      </c>
      <c r="DF76" s="111">
        <f t="shared" si="8"/>
        <v>38.71023814</v>
      </c>
      <c r="DG76" s="111"/>
      <c r="DH76" s="111"/>
      <c r="DI76" s="111"/>
      <c r="DJ76" s="111"/>
      <c r="DK76" s="111"/>
      <c r="DL76" s="111"/>
      <c r="DM76" s="111">
        <v>0.0</v>
      </c>
      <c r="DN76" s="149">
        <f t="shared" si="9"/>
        <v>306.24</v>
      </c>
      <c r="DO76" s="149">
        <v>0.0</v>
      </c>
      <c r="DP76" s="111"/>
      <c r="DQ76" s="111"/>
      <c r="DR76" s="111"/>
      <c r="DS76" s="111"/>
      <c r="DT76" s="111"/>
      <c r="DU76" s="111"/>
      <c r="DV76" s="111"/>
      <c r="DW76" s="111">
        <v>4215.0</v>
      </c>
      <c r="DX76" s="146">
        <f t="shared" si="11"/>
        <v>1.892680736</v>
      </c>
      <c r="DY76" s="111">
        <v>45.0</v>
      </c>
      <c r="DZ76" s="111"/>
      <c r="EA76" s="111"/>
      <c r="EB76" s="111"/>
      <c r="EC76" s="111"/>
      <c r="ED76" s="111">
        <v>14.25</v>
      </c>
      <c r="EE76" s="111"/>
      <c r="EF76" s="111"/>
      <c r="EG76" s="111"/>
      <c r="EH76" s="111"/>
      <c r="EI76" s="111"/>
      <c r="EJ76" s="111"/>
      <c r="EK76" s="147"/>
      <c r="EL76" s="111"/>
    </row>
    <row r="77" ht="17.25" customHeight="1">
      <c r="A77" s="148">
        <v>45986.0</v>
      </c>
      <c r="B77" s="111">
        <v>0.0</v>
      </c>
      <c r="C77" s="111"/>
      <c r="D77" s="111"/>
      <c r="E77" s="111">
        <v>90.0</v>
      </c>
      <c r="F77" s="111">
        <v>30.71</v>
      </c>
      <c r="G77" s="111">
        <v>75.77</v>
      </c>
      <c r="H77" s="111"/>
      <c r="I77" s="111"/>
      <c r="J77" s="111"/>
      <c r="K77" s="111"/>
      <c r="L77" s="111"/>
      <c r="M77" s="111">
        <v>12.83</v>
      </c>
      <c r="N77" s="111">
        <v>72.95</v>
      </c>
      <c r="O77" s="111">
        <v>5.33</v>
      </c>
      <c r="P77" s="111"/>
      <c r="Q77" s="111">
        <v>12.83</v>
      </c>
      <c r="R77" s="111">
        <v>72.95</v>
      </c>
      <c r="S77" s="111"/>
      <c r="T77" s="111">
        <v>9.38</v>
      </c>
      <c r="U77" s="111">
        <v>55.54</v>
      </c>
      <c r="V77" s="111"/>
      <c r="W77" s="111">
        <v>12.83</v>
      </c>
      <c r="X77" s="111">
        <v>72.95</v>
      </c>
      <c r="Y77" s="111"/>
      <c r="Z77" s="111">
        <v>9.53</v>
      </c>
      <c r="AA77" s="111">
        <v>54.87</v>
      </c>
      <c r="AB77" s="111"/>
      <c r="AC77" s="111">
        <v>12.83</v>
      </c>
      <c r="AD77" s="111">
        <v>72.95</v>
      </c>
      <c r="AE77" s="111"/>
      <c r="AF77" s="111">
        <v>9.46</v>
      </c>
      <c r="AG77" s="111">
        <v>52.0</v>
      </c>
      <c r="AH77" s="111"/>
      <c r="AI77" s="111"/>
      <c r="AJ77" s="111"/>
      <c r="AK77" s="111"/>
      <c r="AL77" s="111">
        <v>5.21</v>
      </c>
      <c r="AM77" s="111"/>
      <c r="AN77" s="111">
        <v>6.97</v>
      </c>
      <c r="AO77" s="111">
        <v>33.0</v>
      </c>
      <c r="AP77" s="111">
        <v>0.0</v>
      </c>
      <c r="AQ77" s="111">
        <v>0.0</v>
      </c>
      <c r="AR77" s="111">
        <v>0.0</v>
      </c>
      <c r="AS77" s="111"/>
      <c r="AT77" s="142"/>
      <c r="AU77" s="142"/>
      <c r="AV77" s="111">
        <v>12.0</v>
      </c>
      <c r="AW77" s="111"/>
      <c r="AX77" s="111"/>
      <c r="AY77" s="111"/>
      <c r="AZ77" s="111"/>
      <c r="BA77" s="111"/>
      <c r="BB77" s="111">
        <v>5.23</v>
      </c>
      <c r="BC77" s="111"/>
      <c r="BD77" s="111">
        <v>6.98</v>
      </c>
      <c r="BE77" s="111">
        <v>33.0</v>
      </c>
      <c r="BF77" s="111"/>
      <c r="BG77" s="111"/>
      <c r="BH77" s="111"/>
      <c r="BI77" s="111"/>
      <c r="BJ77" s="142"/>
      <c r="BK77" s="111"/>
      <c r="BL77" s="111">
        <v>4.0</v>
      </c>
      <c r="BM77" s="111"/>
      <c r="BN77" s="111"/>
      <c r="BO77" s="111"/>
      <c r="BP77" s="111"/>
      <c r="BQ77" s="111"/>
      <c r="BR77" s="111">
        <v>4.92</v>
      </c>
      <c r="BS77" s="111"/>
      <c r="BT77" s="111">
        <v>7.04</v>
      </c>
      <c r="BU77" s="111">
        <v>30.0</v>
      </c>
      <c r="BV77" s="111"/>
      <c r="BW77" s="111"/>
      <c r="BX77" s="111"/>
      <c r="BY77" s="111"/>
      <c r="BZ77" s="142"/>
      <c r="CA77" s="111"/>
      <c r="CB77" s="111">
        <v>4.0</v>
      </c>
      <c r="CC77" s="111"/>
      <c r="CD77" s="111"/>
      <c r="CE77" s="111"/>
      <c r="CF77" s="111"/>
      <c r="CG77" s="111"/>
      <c r="CH77" s="111"/>
      <c r="CI77" s="111"/>
      <c r="CJ77" s="111"/>
      <c r="CK77" s="111"/>
      <c r="CL77" s="111"/>
      <c r="CM77" s="111"/>
      <c r="CN77" s="111"/>
      <c r="CO77" s="111"/>
      <c r="CP77" s="111"/>
      <c r="CQ77" s="111"/>
      <c r="CR77" s="111">
        <v>8635.0</v>
      </c>
      <c r="CS77" s="111">
        <v>0.0</v>
      </c>
      <c r="CT77" s="111">
        <f t="shared" si="10"/>
        <v>95.94444444</v>
      </c>
      <c r="CU77" s="111"/>
      <c r="CV77" s="111">
        <v>40.0</v>
      </c>
      <c r="CW77" s="111"/>
      <c r="CX77" s="111"/>
      <c r="CY77" s="111"/>
      <c r="CZ77" s="111">
        <v>3396.0</v>
      </c>
      <c r="DA77" s="111">
        <v>95.744</v>
      </c>
      <c r="DB77" s="111">
        <v>3.106</v>
      </c>
      <c r="DC77" s="111">
        <v>3.0</v>
      </c>
      <c r="DD77" s="111">
        <v>0.1</v>
      </c>
      <c r="DE77" s="111">
        <v>1.0</v>
      </c>
      <c r="DF77" s="111">
        <f t="shared" si="8"/>
        <v>39.328315</v>
      </c>
      <c r="DG77" s="111"/>
      <c r="DH77" s="111"/>
      <c r="DI77" s="111"/>
      <c r="DJ77" s="111"/>
      <c r="DK77" s="111"/>
      <c r="DL77" s="111"/>
      <c r="DM77" s="111">
        <v>4.0</v>
      </c>
      <c r="DN77" s="149">
        <f t="shared" si="9"/>
        <v>310.24</v>
      </c>
      <c r="DO77" s="149">
        <v>18.0</v>
      </c>
      <c r="DP77" s="111"/>
      <c r="DQ77" s="111"/>
      <c r="DR77" s="111"/>
      <c r="DS77" s="111"/>
      <c r="DT77" s="111"/>
      <c r="DU77" s="111"/>
      <c r="DV77" s="111"/>
      <c r="DW77" s="111">
        <v>7050.0</v>
      </c>
      <c r="DX77" s="146">
        <f t="shared" si="11"/>
        <v>2.075971731</v>
      </c>
      <c r="DY77" s="111">
        <v>45.0</v>
      </c>
      <c r="DZ77" s="111"/>
      <c r="EA77" s="111"/>
      <c r="EB77" s="111"/>
      <c r="EC77" s="111"/>
      <c r="ED77" s="111">
        <v>24.0</v>
      </c>
      <c r="EE77" s="111"/>
      <c r="EF77" s="111"/>
      <c r="EG77" s="111"/>
      <c r="EH77" s="111"/>
      <c r="EI77" s="111"/>
      <c r="EJ77" s="111"/>
      <c r="EK77" s="147"/>
      <c r="EL77" s="111"/>
    </row>
    <row r="78" ht="17.25" customHeight="1">
      <c r="A78" s="148">
        <v>45987.0</v>
      </c>
      <c r="B78" s="111">
        <v>0.0</v>
      </c>
      <c r="C78" s="111"/>
      <c r="D78" s="111"/>
      <c r="E78" s="111">
        <v>90.0</v>
      </c>
      <c r="F78" s="111">
        <v>28.19</v>
      </c>
      <c r="G78" s="111">
        <v>73.39</v>
      </c>
      <c r="H78" s="111"/>
      <c r="I78" s="111"/>
      <c r="J78" s="111"/>
      <c r="K78" s="111"/>
      <c r="L78" s="111"/>
      <c r="M78" s="111">
        <v>12.73</v>
      </c>
      <c r="N78" s="111">
        <v>71.48</v>
      </c>
      <c r="O78" s="111">
        <v>5.43</v>
      </c>
      <c r="P78" s="111"/>
      <c r="Q78" s="111">
        <v>12.73</v>
      </c>
      <c r="R78" s="111">
        <v>71.48</v>
      </c>
      <c r="S78" s="111"/>
      <c r="T78" s="111">
        <v>9.54</v>
      </c>
      <c r="U78" s="111">
        <v>58.17</v>
      </c>
      <c r="V78" s="111"/>
      <c r="W78" s="111">
        <v>12.73</v>
      </c>
      <c r="X78" s="111">
        <v>71.48</v>
      </c>
      <c r="Y78" s="111"/>
      <c r="Z78" s="111">
        <v>9.66</v>
      </c>
      <c r="AA78" s="111">
        <v>55.38</v>
      </c>
      <c r="AB78" s="111"/>
      <c r="AC78" s="111">
        <v>12.73</v>
      </c>
      <c r="AD78" s="111">
        <v>71.48</v>
      </c>
      <c r="AE78" s="111"/>
      <c r="AF78" s="111">
        <v>9.2</v>
      </c>
      <c r="AG78" s="111">
        <v>53.15</v>
      </c>
      <c r="AH78" s="111"/>
      <c r="AI78" s="111"/>
      <c r="AJ78" s="111"/>
      <c r="AK78" s="111"/>
      <c r="AL78" s="111">
        <v>5.55</v>
      </c>
      <c r="AM78" s="111"/>
      <c r="AN78" s="111">
        <v>6.89</v>
      </c>
      <c r="AO78" s="111">
        <v>33.5</v>
      </c>
      <c r="AP78" s="111">
        <v>0.0</v>
      </c>
      <c r="AQ78" s="111">
        <v>0.0</v>
      </c>
      <c r="AR78" s="111">
        <v>0.0</v>
      </c>
      <c r="AS78" s="111"/>
      <c r="AT78" s="142"/>
      <c r="AU78" s="142"/>
      <c r="AV78" s="111">
        <v>12.0</v>
      </c>
      <c r="AW78" s="111"/>
      <c r="AX78" s="111"/>
      <c r="AY78" s="111"/>
      <c r="AZ78" s="111"/>
      <c r="BA78" s="111"/>
      <c r="BB78" s="111">
        <v>5.35</v>
      </c>
      <c r="BC78" s="111"/>
      <c r="BD78" s="111">
        <v>6.95</v>
      </c>
      <c r="BE78" s="111">
        <v>33.0</v>
      </c>
      <c r="BF78" s="111"/>
      <c r="BG78" s="111"/>
      <c r="BH78" s="111"/>
      <c r="BI78" s="111"/>
      <c r="BJ78" s="142"/>
      <c r="BK78" s="111"/>
      <c r="BL78" s="111">
        <v>4.0</v>
      </c>
      <c r="BM78" s="111"/>
      <c r="BN78" s="111"/>
      <c r="BO78" s="111"/>
      <c r="BP78" s="111"/>
      <c r="BQ78" s="111"/>
      <c r="BR78" s="111">
        <v>4.89</v>
      </c>
      <c r="BS78" s="111"/>
      <c r="BT78" s="111">
        <v>6.98</v>
      </c>
      <c r="BU78" s="111">
        <v>30.5</v>
      </c>
      <c r="BV78" s="111"/>
      <c r="BW78" s="111"/>
      <c r="BX78" s="111"/>
      <c r="BY78" s="111"/>
      <c r="BZ78" s="142"/>
      <c r="CA78" s="111"/>
      <c r="CB78" s="111">
        <v>4.0</v>
      </c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>
        <v>8072.0</v>
      </c>
      <c r="CS78" s="111">
        <v>0.0</v>
      </c>
      <c r="CT78" s="111">
        <f t="shared" si="10"/>
        <v>89.68888889</v>
      </c>
      <c r="CU78" s="111"/>
      <c r="CV78" s="111">
        <v>41.0</v>
      </c>
      <c r="CW78" s="111"/>
      <c r="CX78" s="111"/>
      <c r="CY78" s="111"/>
      <c r="CZ78" s="111">
        <v>3298.0</v>
      </c>
      <c r="DA78" s="111">
        <v>95.449</v>
      </c>
      <c r="DB78" s="111">
        <v>3.255</v>
      </c>
      <c r="DC78" s="111">
        <v>2.0</v>
      </c>
      <c r="DD78" s="111">
        <v>0.1</v>
      </c>
      <c r="DE78" s="111">
        <v>1.1</v>
      </c>
      <c r="DF78" s="111">
        <f t="shared" si="8"/>
        <v>40.85728444</v>
      </c>
      <c r="DG78" s="111"/>
      <c r="DH78" s="111"/>
      <c r="DI78" s="111"/>
      <c r="DJ78" s="111"/>
      <c r="DK78" s="111"/>
      <c r="DL78" s="111"/>
      <c r="DM78" s="111">
        <v>0.0</v>
      </c>
      <c r="DN78" s="149">
        <f t="shared" si="9"/>
        <v>292.24</v>
      </c>
      <c r="DO78" s="149">
        <v>30.0</v>
      </c>
      <c r="DP78" s="111"/>
      <c r="DQ78" s="111"/>
      <c r="DR78" s="111"/>
      <c r="DS78" s="111"/>
      <c r="DT78" s="111"/>
      <c r="DU78" s="111"/>
      <c r="DV78" s="111"/>
      <c r="DW78" s="111">
        <v>6435.0</v>
      </c>
      <c r="DX78" s="146">
        <f t="shared" si="11"/>
        <v>1.951182535</v>
      </c>
      <c r="DY78" s="111">
        <v>45.0</v>
      </c>
      <c r="DZ78" s="111"/>
      <c r="EA78" s="111"/>
      <c r="EB78" s="111"/>
      <c r="EC78" s="111"/>
      <c r="ED78" s="111">
        <v>22.2</v>
      </c>
      <c r="EE78" s="111"/>
      <c r="EF78" s="111"/>
      <c r="EG78" s="111"/>
      <c r="EH78" s="111"/>
      <c r="EI78" s="111"/>
      <c r="EJ78" s="111"/>
      <c r="EK78" s="147"/>
      <c r="EL78" s="111"/>
    </row>
    <row r="79" ht="17.25" customHeight="1">
      <c r="A79" s="148">
        <v>45988.0</v>
      </c>
      <c r="B79" s="111">
        <v>0.0</v>
      </c>
      <c r="C79" s="111"/>
      <c r="D79" s="111"/>
      <c r="E79" s="111">
        <v>90.0</v>
      </c>
      <c r="F79" s="111">
        <v>31.37</v>
      </c>
      <c r="G79" s="111">
        <v>71.4</v>
      </c>
      <c r="H79" s="111"/>
      <c r="I79" s="111"/>
      <c r="J79" s="111"/>
      <c r="K79" s="111"/>
      <c r="L79" s="111"/>
      <c r="M79" s="111">
        <v>13.98</v>
      </c>
      <c r="N79" s="111">
        <v>71.17</v>
      </c>
      <c r="O79" s="111">
        <v>5.83</v>
      </c>
      <c r="P79" s="111"/>
      <c r="Q79" s="111">
        <v>13.98</v>
      </c>
      <c r="R79" s="111">
        <v>71.17</v>
      </c>
      <c r="S79" s="111"/>
      <c r="T79" s="111">
        <v>9.56</v>
      </c>
      <c r="U79" s="111">
        <v>59.3</v>
      </c>
      <c r="V79" s="111"/>
      <c r="W79" s="111">
        <v>13.98</v>
      </c>
      <c r="X79" s="111">
        <v>71.17</v>
      </c>
      <c r="Y79" s="111"/>
      <c r="Z79" s="111">
        <v>9.84</v>
      </c>
      <c r="AA79" s="111">
        <v>58.94</v>
      </c>
      <c r="AB79" s="111"/>
      <c r="AC79" s="111">
        <v>13.98</v>
      </c>
      <c r="AD79" s="111">
        <v>71.17</v>
      </c>
      <c r="AE79" s="111"/>
      <c r="AF79" s="111">
        <v>9.28</v>
      </c>
      <c r="AG79" s="111">
        <v>52.15</v>
      </c>
      <c r="AH79" s="111"/>
      <c r="AI79" s="111"/>
      <c r="AJ79" s="111"/>
      <c r="AK79" s="111"/>
      <c r="AL79" s="111">
        <v>5.67</v>
      </c>
      <c r="AM79" s="111"/>
      <c r="AN79" s="111">
        <v>6.87</v>
      </c>
      <c r="AO79" s="111">
        <v>33.5</v>
      </c>
      <c r="AP79" s="111">
        <v>0.0</v>
      </c>
      <c r="AQ79" s="111">
        <v>0.0</v>
      </c>
      <c r="AR79" s="111">
        <v>0.0</v>
      </c>
      <c r="AS79" s="111"/>
      <c r="AT79" s="142"/>
      <c r="AU79" s="142"/>
      <c r="AV79" s="111">
        <v>12.0</v>
      </c>
      <c r="AW79" s="111">
        <v>0.0</v>
      </c>
      <c r="AX79" s="111"/>
      <c r="AY79" s="111"/>
      <c r="AZ79" s="111"/>
      <c r="BA79" s="111"/>
      <c r="BB79" s="111">
        <v>5.8</v>
      </c>
      <c r="BC79" s="111"/>
      <c r="BD79" s="111">
        <v>6.93</v>
      </c>
      <c r="BE79" s="111">
        <v>33.5</v>
      </c>
      <c r="BF79" s="111"/>
      <c r="BG79" s="111"/>
      <c r="BH79" s="111"/>
      <c r="BI79" s="111"/>
      <c r="BJ79" s="142"/>
      <c r="BK79" s="111"/>
      <c r="BL79" s="111">
        <v>4.0</v>
      </c>
      <c r="BM79" s="111"/>
      <c r="BN79" s="111"/>
      <c r="BO79" s="111"/>
      <c r="BP79" s="111"/>
      <c r="BQ79" s="111"/>
      <c r="BR79" s="111">
        <v>4.84</v>
      </c>
      <c r="BS79" s="111"/>
      <c r="BT79" s="111">
        <v>6.97</v>
      </c>
      <c r="BU79" s="111">
        <v>30.5</v>
      </c>
      <c r="BV79" s="111"/>
      <c r="BW79" s="111"/>
      <c r="BX79" s="111"/>
      <c r="BY79" s="111"/>
      <c r="BZ79" s="142"/>
      <c r="CA79" s="111"/>
      <c r="CB79" s="111">
        <v>4.0</v>
      </c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>
        <v>8343.0</v>
      </c>
      <c r="CS79" s="111">
        <v>0.0</v>
      </c>
      <c r="CT79" s="111">
        <f t="shared" si="10"/>
        <v>92.7</v>
      </c>
      <c r="CU79" s="111"/>
      <c r="CV79" s="111">
        <v>40.0</v>
      </c>
      <c r="CW79" s="111"/>
      <c r="CX79" s="111"/>
      <c r="CY79" s="111"/>
      <c r="CZ79" s="111">
        <v>3162.0</v>
      </c>
      <c r="DA79" s="111">
        <v>95.744</v>
      </c>
      <c r="DB79" s="111">
        <v>3.106</v>
      </c>
      <c r="DC79" s="111">
        <v>5.0</v>
      </c>
      <c r="DD79" s="111">
        <v>0.1</v>
      </c>
      <c r="DE79" s="111">
        <v>1.0</v>
      </c>
      <c r="DF79" s="111">
        <f t="shared" si="8"/>
        <v>37.90003596</v>
      </c>
      <c r="DG79" s="111"/>
      <c r="DH79" s="111"/>
      <c r="DI79" s="111"/>
      <c r="DJ79" s="111"/>
      <c r="DK79" s="111"/>
      <c r="DL79" s="111"/>
      <c r="DM79" s="111">
        <v>5.4</v>
      </c>
      <c r="DN79" s="149">
        <f t="shared" si="9"/>
        <v>267.64</v>
      </c>
      <c r="DO79" s="149">
        <v>0.0</v>
      </c>
      <c r="DP79" s="111"/>
      <c r="DQ79" s="111"/>
      <c r="DR79" s="111"/>
      <c r="DS79" s="111"/>
      <c r="DT79" s="111"/>
      <c r="DU79" s="111"/>
      <c r="DV79" s="111"/>
      <c r="DW79" s="111">
        <v>6420.0</v>
      </c>
      <c r="DX79" s="146">
        <f t="shared" si="11"/>
        <v>2.030360531</v>
      </c>
      <c r="DY79" s="111">
        <v>45.0</v>
      </c>
      <c r="DZ79" s="111"/>
      <c r="EA79" s="111"/>
      <c r="EB79" s="111"/>
      <c r="EC79" s="111"/>
      <c r="ED79" s="111">
        <v>22.55</v>
      </c>
      <c r="EE79" s="111"/>
      <c r="EF79" s="111"/>
      <c r="EG79" s="111"/>
      <c r="EH79" s="111"/>
      <c r="EI79" s="111"/>
      <c r="EJ79" s="111"/>
      <c r="EK79" s="147"/>
      <c r="EL79" s="111"/>
    </row>
    <row r="80" ht="17.25" customHeight="1">
      <c r="A80" s="148">
        <v>45989.0</v>
      </c>
      <c r="B80" s="111">
        <v>0.0</v>
      </c>
      <c r="C80" s="111"/>
      <c r="D80" s="111"/>
      <c r="E80" s="111">
        <v>90.0</v>
      </c>
      <c r="F80" s="111">
        <v>28.01</v>
      </c>
      <c r="G80" s="111">
        <v>79.0</v>
      </c>
      <c r="H80" s="111"/>
      <c r="I80" s="111"/>
      <c r="J80" s="111"/>
      <c r="K80" s="111"/>
      <c r="L80" s="111"/>
      <c r="M80" s="111">
        <v>12.25</v>
      </c>
      <c r="N80" s="111">
        <v>68.57</v>
      </c>
      <c r="O80" s="111">
        <v>5.79</v>
      </c>
      <c r="P80" s="111"/>
      <c r="Q80" s="111">
        <v>12.25</v>
      </c>
      <c r="R80" s="111">
        <v>68.57</v>
      </c>
      <c r="S80" s="111"/>
      <c r="T80" s="111">
        <v>9.4</v>
      </c>
      <c r="U80" s="111">
        <v>56.8</v>
      </c>
      <c r="V80" s="111"/>
      <c r="W80" s="111">
        <v>12.25</v>
      </c>
      <c r="X80" s="111">
        <v>68.57</v>
      </c>
      <c r="Y80" s="111"/>
      <c r="Z80" s="111">
        <v>9.45</v>
      </c>
      <c r="AA80" s="111">
        <v>55.34</v>
      </c>
      <c r="AB80" s="111"/>
      <c r="AC80" s="111">
        <v>12.25</v>
      </c>
      <c r="AD80" s="111">
        <v>68.57</v>
      </c>
      <c r="AE80" s="111"/>
      <c r="AF80" s="111">
        <v>9.15</v>
      </c>
      <c r="AG80" s="111">
        <v>51.91</v>
      </c>
      <c r="AH80" s="111"/>
      <c r="AI80" s="111"/>
      <c r="AJ80" s="111"/>
      <c r="AK80" s="111"/>
      <c r="AL80" s="111">
        <v>5.34</v>
      </c>
      <c r="AM80" s="111"/>
      <c r="AN80" s="111">
        <v>6.93</v>
      </c>
      <c r="AO80" s="111">
        <v>33.5</v>
      </c>
      <c r="AP80" s="111">
        <v>0.0</v>
      </c>
      <c r="AQ80" s="111">
        <v>0.0</v>
      </c>
      <c r="AR80" s="111">
        <v>0.0</v>
      </c>
      <c r="AS80" s="111"/>
      <c r="AT80" s="142"/>
      <c r="AU80" s="142"/>
      <c r="AV80" s="111">
        <v>12.0</v>
      </c>
      <c r="AW80" s="111"/>
      <c r="AX80" s="111"/>
      <c r="AY80" s="111"/>
      <c r="AZ80" s="111"/>
      <c r="BA80" s="111"/>
      <c r="BB80" s="111">
        <v>5.23</v>
      </c>
      <c r="BC80" s="111"/>
      <c r="BD80" s="111">
        <v>6.9</v>
      </c>
      <c r="BE80" s="111">
        <v>33.0</v>
      </c>
      <c r="BF80" s="111"/>
      <c r="BG80" s="111"/>
      <c r="BH80" s="111"/>
      <c r="BI80" s="111"/>
      <c r="BJ80" s="142"/>
      <c r="BK80" s="111"/>
      <c r="BL80" s="111">
        <v>4.0</v>
      </c>
      <c r="BM80" s="111"/>
      <c r="BN80" s="111"/>
      <c r="BO80" s="111"/>
      <c r="BP80" s="111"/>
      <c r="BQ80" s="111"/>
      <c r="BR80" s="111">
        <v>4.75</v>
      </c>
      <c r="BS80" s="111"/>
      <c r="BT80" s="111">
        <v>6.94</v>
      </c>
      <c r="BU80" s="111">
        <v>30.5</v>
      </c>
      <c r="BV80" s="111"/>
      <c r="BW80" s="111"/>
      <c r="BX80" s="111"/>
      <c r="BY80" s="111"/>
      <c r="BZ80" s="142"/>
      <c r="CA80" s="111"/>
      <c r="CB80" s="111">
        <v>4.0</v>
      </c>
      <c r="CC80" s="111"/>
      <c r="CD80" s="111"/>
      <c r="CE80" s="111"/>
      <c r="CF80" s="111"/>
      <c r="CG80" s="111"/>
      <c r="CH80" s="111"/>
      <c r="CI80" s="111"/>
      <c r="CJ80" s="111"/>
      <c r="CK80" s="111"/>
      <c r="CL80" s="111"/>
      <c r="CM80" s="111"/>
      <c r="CN80" s="111"/>
      <c r="CO80" s="111"/>
      <c r="CP80" s="111"/>
      <c r="CQ80" s="111"/>
      <c r="CR80" s="111">
        <v>8180.0</v>
      </c>
      <c r="CS80" s="111">
        <v>0.0</v>
      </c>
      <c r="CT80" s="111">
        <f t="shared" si="10"/>
        <v>90.88888889</v>
      </c>
      <c r="CU80" s="111"/>
      <c r="CV80" s="111">
        <v>43.0</v>
      </c>
      <c r="CW80" s="111"/>
      <c r="CX80" s="111"/>
      <c r="CY80" s="111"/>
      <c r="CZ80" s="111">
        <v>3200.0</v>
      </c>
      <c r="DA80" s="18">
        <v>95.6</v>
      </c>
      <c r="DB80" s="18">
        <v>3.5</v>
      </c>
      <c r="DC80" s="111">
        <v>2.0</v>
      </c>
      <c r="DD80" s="145">
        <v>0.08</v>
      </c>
      <c r="DE80" s="145">
        <v>2.0</v>
      </c>
      <c r="DF80" s="111">
        <f t="shared" si="8"/>
        <v>39.1198044</v>
      </c>
      <c r="DG80" s="111"/>
      <c r="DH80" s="111"/>
      <c r="DI80" s="111"/>
      <c r="DJ80" s="111"/>
      <c r="DK80" s="111"/>
      <c r="DL80" s="111"/>
      <c r="DM80" s="111">
        <v>4.2</v>
      </c>
      <c r="DN80" s="149">
        <f t="shared" si="9"/>
        <v>271.84</v>
      </c>
      <c r="DO80" s="149">
        <v>0.0</v>
      </c>
      <c r="DP80" s="111"/>
      <c r="DQ80" s="111"/>
      <c r="DR80" s="111"/>
      <c r="DS80" s="111"/>
      <c r="DT80" s="111"/>
      <c r="DU80" s="111"/>
      <c r="DV80" s="111"/>
      <c r="DW80" s="111">
        <v>6090.0</v>
      </c>
      <c r="DX80" s="146">
        <f t="shared" si="11"/>
        <v>1.903125</v>
      </c>
      <c r="DY80" s="111">
        <v>45.0</v>
      </c>
      <c r="DZ80" s="111"/>
      <c r="EA80" s="111"/>
      <c r="EB80" s="111"/>
      <c r="EC80" s="111"/>
      <c r="ED80" s="111">
        <v>22.1</v>
      </c>
      <c r="EE80" s="111"/>
      <c r="EF80" s="111"/>
      <c r="EG80" s="111"/>
      <c r="EH80" s="111"/>
      <c r="EI80" s="111"/>
      <c r="EJ80" s="111"/>
      <c r="EK80" s="147"/>
      <c r="EL80" s="111"/>
    </row>
    <row r="81" ht="17.25" customHeight="1">
      <c r="A81" s="148">
        <v>45990.0</v>
      </c>
      <c r="B81" s="111">
        <v>0.0</v>
      </c>
      <c r="C81" s="111"/>
      <c r="D81" s="111"/>
      <c r="E81" s="111">
        <v>90.0</v>
      </c>
      <c r="F81" s="111">
        <v>28.94</v>
      </c>
      <c r="G81" s="111">
        <v>76.67</v>
      </c>
      <c r="H81" s="111"/>
      <c r="I81" s="111"/>
      <c r="J81" s="111"/>
      <c r="K81" s="111"/>
      <c r="L81" s="111"/>
      <c r="M81" s="111">
        <v>13.29</v>
      </c>
      <c r="N81" s="111">
        <v>65.91</v>
      </c>
      <c r="O81" s="111">
        <v>5.93</v>
      </c>
      <c r="P81" s="111"/>
      <c r="Q81" s="111">
        <v>13.29</v>
      </c>
      <c r="R81" s="111">
        <v>65.91</v>
      </c>
      <c r="S81" s="111"/>
      <c r="T81" s="111">
        <v>9.37</v>
      </c>
      <c r="U81" s="111">
        <v>56.24</v>
      </c>
      <c r="V81" s="111"/>
      <c r="W81" s="111">
        <v>13.29</v>
      </c>
      <c r="X81" s="111">
        <v>65.91</v>
      </c>
      <c r="Y81" s="111"/>
      <c r="Z81" s="111">
        <v>9.61</v>
      </c>
      <c r="AA81" s="111">
        <v>55.15</v>
      </c>
      <c r="AB81" s="111"/>
      <c r="AC81" s="111">
        <v>13.29</v>
      </c>
      <c r="AD81" s="111">
        <v>65.91</v>
      </c>
      <c r="AE81" s="111"/>
      <c r="AF81" s="111">
        <v>9.41</v>
      </c>
      <c r="AG81" s="111">
        <v>52.6</v>
      </c>
      <c r="AH81" s="111"/>
      <c r="AI81" s="111"/>
      <c r="AJ81" s="111"/>
      <c r="AK81" s="111"/>
      <c r="AL81" s="111">
        <v>5.27</v>
      </c>
      <c r="AM81" s="111"/>
      <c r="AN81" s="111">
        <v>6.98</v>
      </c>
      <c r="AO81" s="111">
        <v>33.5</v>
      </c>
      <c r="AP81" s="111">
        <v>0.0</v>
      </c>
      <c r="AQ81" s="111">
        <v>0.0</v>
      </c>
      <c r="AR81" s="111">
        <v>0.0</v>
      </c>
      <c r="AS81" s="111"/>
      <c r="AT81" s="142"/>
      <c r="AU81" s="142"/>
      <c r="AV81" s="111">
        <v>12.0</v>
      </c>
      <c r="AW81" s="111"/>
      <c r="AX81" s="111"/>
      <c r="AY81" s="111"/>
      <c r="AZ81" s="111"/>
      <c r="BA81" s="111"/>
      <c r="BB81" s="111">
        <v>5.3</v>
      </c>
      <c r="BC81" s="111"/>
      <c r="BD81" s="111">
        <v>6.97</v>
      </c>
      <c r="BE81" s="111">
        <v>33.0</v>
      </c>
      <c r="BF81" s="111"/>
      <c r="BG81" s="111"/>
      <c r="BH81" s="111"/>
      <c r="BI81" s="111"/>
      <c r="BJ81" s="142"/>
      <c r="BK81" s="111"/>
      <c r="BL81" s="111">
        <v>4.0</v>
      </c>
      <c r="BM81" s="111"/>
      <c r="BN81" s="111"/>
      <c r="BO81" s="111"/>
      <c r="BP81" s="111"/>
      <c r="BQ81" s="111"/>
      <c r="BR81" s="111">
        <v>4.95</v>
      </c>
      <c r="BS81" s="111"/>
      <c r="BT81" s="111">
        <v>7.02</v>
      </c>
      <c r="BU81" s="111">
        <v>30.5</v>
      </c>
      <c r="BV81" s="111"/>
      <c r="BW81" s="111"/>
      <c r="BX81" s="111"/>
      <c r="BY81" s="111"/>
      <c r="BZ81" s="142"/>
      <c r="CA81" s="111"/>
      <c r="CB81" s="111">
        <v>4.0</v>
      </c>
      <c r="CC81" s="111"/>
      <c r="CD81" s="111"/>
      <c r="CE81" s="111"/>
      <c r="CF81" s="111"/>
      <c r="CG81" s="111"/>
      <c r="CH81" s="111"/>
      <c r="CI81" s="111"/>
      <c r="CJ81" s="111"/>
      <c r="CK81" s="111"/>
      <c r="CL81" s="111"/>
      <c r="CM81" s="111"/>
      <c r="CN81" s="111"/>
      <c r="CO81" s="111"/>
      <c r="CP81" s="111"/>
      <c r="CQ81" s="111"/>
      <c r="CR81" s="111">
        <v>8205.0</v>
      </c>
      <c r="CS81" s="111">
        <v>0.0</v>
      </c>
      <c r="CT81" s="111">
        <f t="shared" si="10"/>
        <v>91.16666667</v>
      </c>
      <c r="CU81" s="111"/>
      <c r="CV81" s="111">
        <v>42.0</v>
      </c>
      <c r="CW81" s="111"/>
      <c r="CX81" s="111"/>
      <c r="CY81" s="111"/>
      <c r="CZ81" s="111">
        <v>3060.0</v>
      </c>
      <c r="DA81" s="18">
        <v>95.6</v>
      </c>
      <c r="DB81" s="18">
        <v>3.5</v>
      </c>
      <c r="DC81" s="111">
        <v>2.0</v>
      </c>
      <c r="DD81" s="18">
        <v>0.08</v>
      </c>
      <c r="DE81" s="145">
        <v>2.0</v>
      </c>
      <c r="DF81" s="111">
        <f t="shared" si="8"/>
        <v>37.29433272</v>
      </c>
      <c r="DG81" s="111"/>
      <c r="DH81" s="111"/>
      <c r="DI81" s="111"/>
      <c r="DJ81" s="111"/>
      <c r="DK81" s="111"/>
      <c r="DL81" s="111"/>
      <c r="DM81" s="111">
        <v>4.2</v>
      </c>
      <c r="DN81" s="149">
        <f t="shared" si="9"/>
        <v>276.04</v>
      </c>
      <c r="DO81" s="149">
        <v>0.0</v>
      </c>
      <c r="DP81" s="111"/>
      <c r="DQ81" s="111"/>
      <c r="DR81" s="111"/>
      <c r="DS81" s="111"/>
      <c r="DT81" s="111"/>
      <c r="DU81" s="111"/>
      <c r="DV81" s="111"/>
      <c r="DW81" s="111">
        <v>6240.0</v>
      </c>
      <c r="DX81" s="146">
        <f t="shared" si="11"/>
        <v>2.039215686</v>
      </c>
      <c r="DY81" s="111">
        <v>45.0</v>
      </c>
      <c r="DZ81" s="111"/>
      <c r="EA81" s="111"/>
      <c r="EB81" s="111"/>
      <c r="EC81" s="111"/>
      <c r="ED81" s="111">
        <v>22.0</v>
      </c>
      <c r="EE81" s="111"/>
      <c r="EF81" s="111"/>
      <c r="EG81" s="111"/>
      <c r="EH81" s="111"/>
      <c r="EI81" s="111"/>
      <c r="EJ81" s="111"/>
      <c r="EK81" s="147"/>
      <c r="EL81" s="111"/>
    </row>
    <row r="82" ht="17.25" customHeight="1">
      <c r="A82" s="148">
        <v>45991.0</v>
      </c>
      <c r="B82" s="111">
        <v>0.0</v>
      </c>
      <c r="C82" s="111"/>
      <c r="D82" s="111"/>
      <c r="E82" s="111">
        <v>90.0</v>
      </c>
      <c r="F82" s="111">
        <v>0.0</v>
      </c>
      <c r="G82" s="111">
        <v>0.0</v>
      </c>
      <c r="H82" s="111"/>
      <c r="I82" s="111"/>
      <c r="J82" s="111"/>
      <c r="K82" s="111"/>
      <c r="L82" s="111"/>
      <c r="M82" s="111">
        <v>0.0</v>
      </c>
      <c r="N82" s="111">
        <v>0.0</v>
      </c>
      <c r="O82" s="111">
        <v>0.0</v>
      </c>
      <c r="P82" s="111"/>
      <c r="Q82" s="111">
        <v>0.0</v>
      </c>
      <c r="R82" s="111">
        <v>0.0</v>
      </c>
      <c r="S82" s="111"/>
      <c r="T82" s="111">
        <v>0.0</v>
      </c>
      <c r="U82" s="111">
        <v>0.0</v>
      </c>
      <c r="V82" s="111"/>
      <c r="W82" s="111">
        <v>0.0</v>
      </c>
      <c r="X82" s="111">
        <v>0.0</v>
      </c>
      <c r="Y82" s="111"/>
      <c r="Z82" s="111">
        <v>0.0</v>
      </c>
      <c r="AA82" s="111">
        <v>0.0</v>
      </c>
      <c r="AB82" s="111"/>
      <c r="AC82" s="111">
        <v>0.0</v>
      </c>
      <c r="AD82" s="111">
        <v>0.0</v>
      </c>
      <c r="AE82" s="111"/>
      <c r="AF82" s="111">
        <v>0.0</v>
      </c>
      <c r="AG82" s="111">
        <v>0.0</v>
      </c>
      <c r="AH82" s="111"/>
      <c r="AI82" s="111"/>
      <c r="AJ82" s="111"/>
      <c r="AK82" s="111"/>
      <c r="AL82" s="111">
        <v>0.0</v>
      </c>
      <c r="AM82" s="111"/>
      <c r="AN82" s="111">
        <v>0.0</v>
      </c>
      <c r="AO82" s="111">
        <v>0.0</v>
      </c>
      <c r="AP82" s="111">
        <v>0.0</v>
      </c>
      <c r="AQ82" s="111">
        <v>0.0</v>
      </c>
      <c r="AR82" s="111">
        <v>0.0</v>
      </c>
      <c r="AS82" s="111"/>
      <c r="AT82" s="142"/>
      <c r="AU82" s="142"/>
      <c r="AV82" s="111">
        <v>12.0</v>
      </c>
      <c r="AW82" s="111"/>
      <c r="AX82" s="111"/>
      <c r="AY82" s="111"/>
      <c r="AZ82" s="111"/>
      <c r="BA82" s="111"/>
      <c r="BB82" s="111">
        <v>0.0</v>
      </c>
      <c r="BC82" s="111"/>
      <c r="BD82" s="111">
        <v>0.0</v>
      </c>
      <c r="BE82" s="111">
        <v>0.0</v>
      </c>
      <c r="BF82" s="111"/>
      <c r="BG82" s="111"/>
      <c r="BH82" s="111"/>
      <c r="BI82" s="111"/>
      <c r="BJ82" s="142"/>
      <c r="BK82" s="111"/>
      <c r="BL82" s="111">
        <v>4.0</v>
      </c>
      <c r="BM82" s="111"/>
      <c r="BN82" s="111"/>
      <c r="BO82" s="111"/>
      <c r="BP82" s="111"/>
      <c r="BQ82" s="111"/>
      <c r="BR82" s="111">
        <v>0.0</v>
      </c>
      <c r="BS82" s="111"/>
      <c r="BT82" s="111">
        <v>0.0</v>
      </c>
      <c r="BU82" s="111">
        <v>0.0</v>
      </c>
      <c r="BV82" s="111"/>
      <c r="BW82" s="111"/>
      <c r="BX82" s="111"/>
      <c r="BY82" s="111"/>
      <c r="BZ82" s="142"/>
      <c r="CA82" s="111"/>
      <c r="CB82" s="111">
        <v>4.0</v>
      </c>
      <c r="CC82" s="111"/>
      <c r="CD82" s="111"/>
      <c r="CE82" s="111"/>
      <c r="CF82" s="111"/>
      <c r="CG82" s="111"/>
      <c r="CH82" s="111"/>
      <c r="CI82" s="111"/>
      <c r="CJ82" s="111"/>
      <c r="CK82" s="111"/>
      <c r="CL82" s="111"/>
      <c r="CM82" s="111"/>
      <c r="CN82" s="111"/>
      <c r="CO82" s="111"/>
      <c r="CP82" s="111"/>
      <c r="CQ82" s="111"/>
      <c r="CR82" s="111">
        <v>7935.0</v>
      </c>
      <c r="CS82" s="111">
        <v>0.0</v>
      </c>
      <c r="CT82" s="111">
        <f t="shared" si="10"/>
        <v>88.16666667</v>
      </c>
      <c r="CU82" s="111"/>
      <c r="CV82" s="111">
        <v>0.0</v>
      </c>
      <c r="CW82" s="111"/>
      <c r="CX82" s="111"/>
      <c r="CY82" s="111"/>
      <c r="CZ82" s="111">
        <v>3063.0</v>
      </c>
      <c r="DA82" s="111">
        <v>97.0</v>
      </c>
      <c r="DB82" s="111">
        <v>2.8</v>
      </c>
      <c r="DC82" s="111">
        <v>4.0</v>
      </c>
      <c r="DD82" s="111">
        <v>0.1</v>
      </c>
      <c r="DE82" s="111">
        <v>1.3</v>
      </c>
      <c r="DF82" s="111">
        <f t="shared" si="8"/>
        <v>38.60113422</v>
      </c>
      <c r="DG82" s="111"/>
      <c r="DH82" s="111"/>
      <c r="DI82" s="111"/>
      <c r="DJ82" s="111"/>
      <c r="DK82" s="111"/>
      <c r="DL82" s="111"/>
      <c r="DM82" s="111">
        <v>3.0</v>
      </c>
      <c r="DN82" s="149">
        <f t="shared" si="9"/>
        <v>279.04</v>
      </c>
      <c r="DO82" s="149">
        <v>0.0</v>
      </c>
      <c r="DP82" s="111"/>
      <c r="DQ82" s="111"/>
      <c r="DR82" s="111"/>
      <c r="DS82" s="111"/>
      <c r="DT82" s="111"/>
      <c r="DU82" s="111"/>
      <c r="DV82" s="111"/>
      <c r="DW82" s="111">
        <v>6150.0</v>
      </c>
      <c r="DX82" s="146">
        <f t="shared" si="11"/>
        <v>2.007835455</v>
      </c>
      <c r="DY82" s="111">
        <v>45.0</v>
      </c>
      <c r="DZ82" s="111"/>
      <c r="EA82" s="111"/>
      <c r="EB82" s="111"/>
      <c r="EC82" s="111"/>
      <c r="ED82" s="111">
        <v>21.45</v>
      </c>
      <c r="EE82" s="111"/>
      <c r="EF82" s="111"/>
      <c r="EG82" s="111"/>
      <c r="EH82" s="111"/>
      <c r="EI82" s="111"/>
      <c r="EJ82" s="111"/>
      <c r="EK82" s="147"/>
      <c r="EL82" s="111"/>
    </row>
    <row r="83" ht="17.25" customHeight="1">
      <c r="A83" s="150" t="s">
        <v>181</v>
      </c>
      <c r="B83" s="151">
        <f t="shared" ref="B83:EL83" si="12">SUM(B53:B82)</f>
        <v>0</v>
      </c>
      <c r="C83" s="151">
        <f t="shared" si="12"/>
        <v>0</v>
      </c>
      <c r="D83" s="151">
        <f t="shared" si="12"/>
        <v>0</v>
      </c>
      <c r="E83" s="151">
        <f t="shared" si="12"/>
        <v>2170</v>
      </c>
      <c r="F83" s="151">
        <f t="shared" si="12"/>
        <v>433.01</v>
      </c>
      <c r="G83" s="151">
        <f t="shared" si="12"/>
        <v>1137.43</v>
      </c>
      <c r="H83" s="151">
        <f t="shared" si="12"/>
        <v>0</v>
      </c>
      <c r="I83" s="151">
        <f t="shared" si="12"/>
        <v>0</v>
      </c>
      <c r="J83" s="151">
        <f t="shared" si="12"/>
        <v>0</v>
      </c>
      <c r="K83" s="151">
        <f t="shared" si="12"/>
        <v>0</v>
      </c>
      <c r="L83" s="151">
        <f t="shared" si="12"/>
        <v>0</v>
      </c>
      <c r="M83" s="151">
        <f t="shared" si="12"/>
        <v>170.52</v>
      </c>
      <c r="N83" s="151">
        <f t="shared" si="12"/>
        <v>994.16</v>
      </c>
      <c r="O83" s="151">
        <f t="shared" si="12"/>
        <v>79.04</v>
      </c>
      <c r="P83" s="151">
        <f t="shared" si="12"/>
        <v>0</v>
      </c>
      <c r="Q83" s="151">
        <f t="shared" si="12"/>
        <v>183.18</v>
      </c>
      <c r="R83" s="151">
        <f t="shared" si="12"/>
        <v>1062.24</v>
      </c>
      <c r="S83" s="151">
        <f t="shared" si="12"/>
        <v>0</v>
      </c>
      <c r="T83" s="151">
        <f t="shared" si="12"/>
        <v>151.37</v>
      </c>
      <c r="U83" s="151">
        <f t="shared" si="12"/>
        <v>884.29</v>
      </c>
      <c r="V83" s="151">
        <f t="shared" si="12"/>
        <v>0</v>
      </c>
      <c r="W83" s="151">
        <f t="shared" si="12"/>
        <v>171.5</v>
      </c>
      <c r="X83" s="151">
        <f t="shared" si="12"/>
        <v>996.23</v>
      </c>
      <c r="Y83" s="151">
        <f t="shared" si="12"/>
        <v>0</v>
      </c>
      <c r="Z83" s="151">
        <f t="shared" si="12"/>
        <v>155.47</v>
      </c>
      <c r="AA83" s="151">
        <f t="shared" si="12"/>
        <v>865.25</v>
      </c>
      <c r="AB83" s="151">
        <f t="shared" si="12"/>
        <v>0</v>
      </c>
      <c r="AC83" s="151">
        <f t="shared" si="12"/>
        <v>126.21</v>
      </c>
      <c r="AD83" s="151">
        <f t="shared" si="12"/>
        <v>707.13</v>
      </c>
      <c r="AE83" s="151">
        <f t="shared" si="12"/>
        <v>0</v>
      </c>
      <c r="AF83" s="151">
        <f t="shared" si="12"/>
        <v>103.45</v>
      </c>
      <c r="AG83" s="151">
        <f t="shared" si="12"/>
        <v>573.77</v>
      </c>
      <c r="AH83" s="151">
        <f t="shared" si="12"/>
        <v>0</v>
      </c>
      <c r="AI83" s="151">
        <f t="shared" si="12"/>
        <v>0</v>
      </c>
      <c r="AJ83" s="151">
        <f t="shared" si="12"/>
        <v>0</v>
      </c>
      <c r="AK83" s="151">
        <f t="shared" si="12"/>
        <v>0</v>
      </c>
      <c r="AL83" s="151">
        <f t="shared" si="12"/>
        <v>78.56</v>
      </c>
      <c r="AM83" s="151">
        <f t="shared" si="12"/>
        <v>0</v>
      </c>
      <c r="AN83" s="151">
        <f t="shared" si="12"/>
        <v>104.92</v>
      </c>
      <c r="AO83" s="151">
        <f t="shared" si="12"/>
        <v>481</v>
      </c>
      <c r="AP83" s="151">
        <f t="shared" si="12"/>
        <v>0</v>
      </c>
      <c r="AQ83" s="151">
        <f t="shared" si="12"/>
        <v>0</v>
      </c>
      <c r="AR83" s="151">
        <f t="shared" si="12"/>
        <v>0</v>
      </c>
      <c r="AS83" s="151">
        <f t="shared" si="12"/>
        <v>0</v>
      </c>
      <c r="AT83" s="151">
        <f t="shared" si="12"/>
        <v>0</v>
      </c>
      <c r="AU83" s="151">
        <f t="shared" si="12"/>
        <v>0</v>
      </c>
      <c r="AV83" s="151">
        <f t="shared" si="12"/>
        <v>288</v>
      </c>
      <c r="AW83" s="151">
        <f t="shared" si="12"/>
        <v>0</v>
      </c>
      <c r="AX83" s="151">
        <f t="shared" si="12"/>
        <v>0</v>
      </c>
      <c r="AY83" s="151">
        <f t="shared" si="12"/>
        <v>0</v>
      </c>
      <c r="AZ83" s="151">
        <f t="shared" si="12"/>
        <v>0</v>
      </c>
      <c r="BA83" s="151">
        <f t="shared" si="12"/>
        <v>0</v>
      </c>
      <c r="BB83" s="151">
        <f t="shared" si="12"/>
        <v>73.78</v>
      </c>
      <c r="BC83" s="151">
        <f t="shared" si="12"/>
        <v>0</v>
      </c>
      <c r="BD83" s="151">
        <f t="shared" si="12"/>
        <v>105.04</v>
      </c>
      <c r="BE83" s="151">
        <f t="shared" si="12"/>
        <v>475.5</v>
      </c>
      <c r="BF83" s="151">
        <f t="shared" si="12"/>
        <v>0</v>
      </c>
      <c r="BG83" s="151">
        <f t="shared" si="12"/>
        <v>0</v>
      </c>
      <c r="BH83" s="151">
        <f t="shared" si="12"/>
        <v>0</v>
      </c>
      <c r="BI83" s="151">
        <f t="shared" si="12"/>
        <v>0</v>
      </c>
      <c r="BJ83" s="151">
        <f t="shared" si="12"/>
        <v>0</v>
      </c>
      <c r="BK83" s="151">
        <f t="shared" si="12"/>
        <v>0</v>
      </c>
      <c r="BL83" s="151">
        <f t="shared" si="12"/>
        <v>120</v>
      </c>
      <c r="BM83" s="151">
        <f t="shared" si="12"/>
        <v>0</v>
      </c>
      <c r="BN83" s="151">
        <f t="shared" si="12"/>
        <v>0</v>
      </c>
      <c r="BO83" s="151">
        <f t="shared" si="12"/>
        <v>0</v>
      </c>
      <c r="BP83" s="151">
        <f t="shared" si="12"/>
        <v>0</v>
      </c>
      <c r="BQ83" s="151">
        <f t="shared" si="12"/>
        <v>0</v>
      </c>
      <c r="BR83" s="151">
        <f t="shared" si="12"/>
        <v>53.96</v>
      </c>
      <c r="BS83" s="151">
        <f t="shared" si="12"/>
        <v>0</v>
      </c>
      <c r="BT83" s="151">
        <f t="shared" si="12"/>
        <v>77.4</v>
      </c>
      <c r="BU83" s="151">
        <f t="shared" si="12"/>
        <v>327.5</v>
      </c>
      <c r="BV83" s="151">
        <f t="shared" si="12"/>
        <v>0</v>
      </c>
      <c r="BW83" s="151">
        <f t="shared" si="12"/>
        <v>0</v>
      </c>
      <c r="BX83" s="151">
        <f t="shared" si="12"/>
        <v>0</v>
      </c>
      <c r="BY83" s="151">
        <f t="shared" si="12"/>
        <v>0</v>
      </c>
      <c r="BZ83" s="151">
        <f t="shared" si="12"/>
        <v>0</v>
      </c>
      <c r="CA83" s="151">
        <f t="shared" si="12"/>
        <v>0</v>
      </c>
      <c r="CB83" s="151">
        <f t="shared" si="12"/>
        <v>120</v>
      </c>
      <c r="CC83" s="151">
        <f t="shared" si="12"/>
        <v>0</v>
      </c>
      <c r="CD83" s="151">
        <f t="shared" si="12"/>
        <v>0</v>
      </c>
      <c r="CE83" s="151">
        <f t="shared" si="12"/>
        <v>0</v>
      </c>
      <c r="CF83" s="151">
        <f t="shared" si="12"/>
        <v>0</v>
      </c>
      <c r="CG83" s="151">
        <f t="shared" si="12"/>
        <v>0</v>
      </c>
      <c r="CH83" s="151">
        <f t="shared" si="12"/>
        <v>0</v>
      </c>
      <c r="CI83" s="151">
        <f t="shared" si="12"/>
        <v>0</v>
      </c>
      <c r="CJ83" s="151">
        <f t="shared" si="12"/>
        <v>0</v>
      </c>
      <c r="CK83" s="151">
        <f t="shared" si="12"/>
        <v>0</v>
      </c>
      <c r="CL83" s="151">
        <f t="shared" si="12"/>
        <v>0</v>
      </c>
      <c r="CM83" s="151">
        <f t="shared" si="12"/>
        <v>0</v>
      </c>
      <c r="CN83" s="151">
        <f t="shared" si="12"/>
        <v>0</v>
      </c>
      <c r="CO83" s="151">
        <f t="shared" si="12"/>
        <v>0</v>
      </c>
      <c r="CP83" s="151">
        <f t="shared" si="12"/>
        <v>0</v>
      </c>
      <c r="CQ83" s="151">
        <f t="shared" si="12"/>
        <v>0</v>
      </c>
      <c r="CR83" s="151">
        <f t="shared" si="12"/>
        <v>122205</v>
      </c>
      <c r="CS83" s="151">
        <f t="shared" si="12"/>
        <v>0</v>
      </c>
      <c r="CT83" s="151">
        <f t="shared" si="12"/>
        <v>1315.701744</v>
      </c>
      <c r="CU83" s="151">
        <f t="shared" si="12"/>
        <v>0</v>
      </c>
      <c r="CV83" s="151">
        <f t="shared" si="12"/>
        <v>464</v>
      </c>
      <c r="CW83" s="151">
        <f t="shared" si="12"/>
        <v>0</v>
      </c>
      <c r="CX83" s="151">
        <f t="shared" si="12"/>
        <v>0</v>
      </c>
      <c r="CY83" s="151">
        <f t="shared" si="12"/>
        <v>0</v>
      </c>
      <c r="CZ83" s="151">
        <f t="shared" si="12"/>
        <v>44277</v>
      </c>
      <c r="DA83" s="151">
        <f t="shared" si="12"/>
        <v>1820.353</v>
      </c>
      <c r="DB83" s="151">
        <f t="shared" si="12"/>
        <v>59.22122222</v>
      </c>
      <c r="DC83" s="151">
        <f t="shared" si="12"/>
        <v>49.8</v>
      </c>
      <c r="DD83" s="151">
        <f t="shared" si="12"/>
        <v>1.749</v>
      </c>
      <c r="DE83" s="151">
        <f t="shared" si="12"/>
        <v>30.1</v>
      </c>
      <c r="DF83" s="151" t="str">
        <f t="shared" si="12"/>
        <v>#DIV/0!</v>
      </c>
      <c r="DG83" s="151">
        <f t="shared" si="12"/>
        <v>0</v>
      </c>
      <c r="DH83" s="151">
        <f t="shared" si="12"/>
        <v>0</v>
      </c>
      <c r="DI83" s="151">
        <f t="shared" si="12"/>
        <v>0</v>
      </c>
      <c r="DJ83" s="151">
        <f t="shared" si="12"/>
        <v>0</v>
      </c>
      <c r="DK83" s="151">
        <f t="shared" si="12"/>
        <v>0</v>
      </c>
      <c r="DL83" s="151">
        <f t="shared" si="12"/>
        <v>0</v>
      </c>
      <c r="DM83" s="151">
        <f t="shared" si="12"/>
        <v>47.4</v>
      </c>
      <c r="DN83" s="154">
        <f t="shared" si="12"/>
        <v>9327.24</v>
      </c>
      <c r="DO83" s="154">
        <f t="shared" si="12"/>
        <v>95.84</v>
      </c>
      <c r="DP83" s="151">
        <f t="shared" si="12"/>
        <v>0</v>
      </c>
      <c r="DQ83" s="151">
        <f t="shared" si="12"/>
        <v>0</v>
      </c>
      <c r="DR83" s="151">
        <f t="shared" si="12"/>
        <v>0</v>
      </c>
      <c r="DS83" s="151">
        <f t="shared" si="12"/>
        <v>0</v>
      </c>
      <c r="DT83" s="151">
        <f t="shared" si="12"/>
        <v>0</v>
      </c>
      <c r="DU83" s="151">
        <f t="shared" si="12"/>
        <v>0</v>
      </c>
      <c r="DV83" s="151">
        <f t="shared" si="12"/>
        <v>0</v>
      </c>
      <c r="DW83" s="151">
        <f t="shared" si="12"/>
        <v>108919</v>
      </c>
      <c r="DX83" s="153">
        <f t="shared" si="12"/>
        <v>45.28873338</v>
      </c>
      <c r="DY83" s="151">
        <f t="shared" si="12"/>
        <v>1350</v>
      </c>
      <c r="DZ83" s="151">
        <f t="shared" si="12"/>
        <v>0</v>
      </c>
      <c r="EA83" s="151">
        <f t="shared" si="12"/>
        <v>0</v>
      </c>
      <c r="EB83" s="151">
        <f t="shared" si="12"/>
        <v>0</v>
      </c>
      <c r="EC83" s="151">
        <f t="shared" si="12"/>
        <v>0</v>
      </c>
      <c r="ED83" s="151">
        <f t="shared" si="12"/>
        <v>328.45</v>
      </c>
      <c r="EE83" s="151">
        <f t="shared" si="12"/>
        <v>0</v>
      </c>
      <c r="EF83" s="151">
        <f t="shared" si="12"/>
        <v>0</v>
      </c>
      <c r="EG83" s="151">
        <f t="shared" si="12"/>
        <v>0</v>
      </c>
      <c r="EH83" s="151">
        <f t="shared" si="12"/>
        <v>0</v>
      </c>
      <c r="EI83" s="151">
        <f t="shared" si="12"/>
        <v>0</v>
      </c>
      <c r="EJ83" s="151">
        <f t="shared" si="12"/>
        <v>0</v>
      </c>
      <c r="EK83" s="151">
        <f t="shared" si="12"/>
        <v>0</v>
      </c>
      <c r="EL83" s="151">
        <f t="shared" si="12"/>
        <v>0</v>
      </c>
    </row>
    <row r="84" ht="17.25" customHeight="1">
      <c r="A84" s="150" t="s">
        <v>182</v>
      </c>
      <c r="B84" s="151">
        <f t="shared" ref="B84:EL84" si="13">B83/30</f>
        <v>0</v>
      </c>
      <c r="C84" s="151">
        <f t="shared" si="13"/>
        <v>0</v>
      </c>
      <c r="D84" s="151">
        <f t="shared" si="13"/>
        <v>0</v>
      </c>
      <c r="E84" s="151">
        <f t="shared" si="13"/>
        <v>72.33333333</v>
      </c>
      <c r="F84" s="151">
        <f t="shared" si="13"/>
        <v>14.43366667</v>
      </c>
      <c r="G84" s="151">
        <f t="shared" si="13"/>
        <v>37.91433333</v>
      </c>
      <c r="H84" s="151">
        <f t="shared" si="13"/>
        <v>0</v>
      </c>
      <c r="I84" s="151">
        <f t="shared" si="13"/>
        <v>0</v>
      </c>
      <c r="J84" s="151">
        <f t="shared" si="13"/>
        <v>0</v>
      </c>
      <c r="K84" s="151">
        <f t="shared" si="13"/>
        <v>0</v>
      </c>
      <c r="L84" s="151">
        <f t="shared" si="13"/>
        <v>0</v>
      </c>
      <c r="M84" s="151">
        <f t="shared" si="13"/>
        <v>5.684</v>
      </c>
      <c r="N84" s="151">
        <f t="shared" si="13"/>
        <v>33.13866667</v>
      </c>
      <c r="O84" s="151">
        <f t="shared" si="13"/>
        <v>2.634666667</v>
      </c>
      <c r="P84" s="151">
        <f t="shared" si="13"/>
        <v>0</v>
      </c>
      <c r="Q84" s="151">
        <f t="shared" si="13"/>
        <v>6.106</v>
      </c>
      <c r="R84" s="151">
        <f t="shared" si="13"/>
        <v>35.408</v>
      </c>
      <c r="S84" s="151">
        <f t="shared" si="13"/>
        <v>0</v>
      </c>
      <c r="T84" s="151">
        <f t="shared" si="13"/>
        <v>5.045666667</v>
      </c>
      <c r="U84" s="151">
        <f t="shared" si="13"/>
        <v>29.47633333</v>
      </c>
      <c r="V84" s="151">
        <f t="shared" si="13"/>
        <v>0</v>
      </c>
      <c r="W84" s="151">
        <f t="shared" si="13"/>
        <v>5.716666667</v>
      </c>
      <c r="X84" s="151">
        <f t="shared" si="13"/>
        <v>33.20766667</v>
      </c>
      <c r="Y84" s="151">
        <f t="shared" si="13"/>
        <v>0</v>
      </c>
      <c r="Z84" s="151">
        <f t="shared" si="13"/>
        <v>5.182333333</v>
      </c>
      <c r="AA84" s="151">
        <f t="shared" si="13"/>
        <v>28.84166667</v>
      </c>
      <c r="AB84" s="151">
        <f t="shared" si="13"/>
        <v>0</v>
      </c>
      <c r="AC84" s="151">
        <f t="shared" si="13"/>
        <v>4.207</v>
      </c>
      <c r="AD84" s="151">
        <f t="shared" si="13"/>
        <v>23.571</v>
      </c>
      <c r="AE84" s="151">
        <f t="shared" si="13"/>
        <v>0</v>
      </c>
      <c r="AF84" s="151">
        <f t="shared" si="13"/>
        <v>3.448333333</v>
      </c>
      <c r="AG84" s="151">
        <f t="shared" si="13"/>
        <v>19.12566667</v>
      </c>
      <c r="AH84" s="151">
        <f t="shared" si="13"/>
        <v>0</v>
      </c>
      <c r="AI84" s="151">
        <f t="shared" si="13"/>
        <v>0</v>
      </c>
      <c r="AJ84" s="151">
        <f t="shared" si="13"/>
        <v>0</v>
      </c>
      <c r="AK84" s="151">
        <f t="shared" si="13"/>
        <v>0</v>
      </c>
      <c r="AL84" s="151">
        <f t="shared" si="13"/>
        <v>2.618666667</v>
      </c>
      <c r="AM84" s="151">
        <f t="shared" si="13"/>
        <v>0</v>
      </c>
      <c r="AN84" s="151">
        <f t="shared" si="13"/>
        <v>3.497333333</v>
      </c>
      <c r="AO84" s="151">
        <f t="shared" si="13"/>
        <v>16.03333333</v>
      </c>
      <c r="AP84" s="151">
        <f t="shared" si="13"/>
        <v>0</v>
      </c>
      <c r="AQ84" s="151">
        <f t="shared" si="13"/>
        <v>0</v>
      </c>
      <c r="AR84" s="151">
        <f t="shared" si="13"/>
        <v>0</v>
      </c>
      <c r="AS84" s="151">
        <f t="shared" si="13"/>
        <v>0</v>
      </c>
      <c r="AT84" s="151">
        <f t="shared" si="13"/>
        <v>0</v>
      </c>
      <c r="AU84" s="151">
        <f t="shared" si="13"/>
        <v>0</v>
      </c>
      <c r="AV84" s="151">
        <f t="shared" si="13"/>
        <v>9.6</v>
      </c>
      <c r="AW84" s="151">
        <f t="shared" si="13"/>
        <v>0</v>
      </c>
      <c r="AX84" s="151">
        <f t="shared" si="13"/>
        <v>0</v>
      </c>
      <c r="AY84" s="151">
        <f t="shared" si="13"/>
        <v>0</v>
      </c>
      <c r="AZ84" s="151">
        <f t="shared" si="13"/>
        <v>0</v>
      </c>
      <c r="BA84" s="151">
        <f t="shared" si="13"/>
        <v>0</v>
      </c>
      <c r="BB84" s="151">
        <f t="shared" si="13"/>
        <v>2.459333333</v>
      </c>
      <c r="BC84" s="151">
        <f t="shared" si="13"/>
        <v>0</v>
      </c>
      <c r="BD84" s="151">
        <f t="shared" si="13"/>
        <v>3.501333333</v>
      </c>
      <c r="BE84" s="151">
        <f t="shared" si="13"/>
        <v>15.85</v>
      </c>
      <c r="BF84" s="151">
        <f t="shared" si="13"/>
        <v>0</v>
      </c>
      <c r="BG84" s="151">
        <f t="shared" si="13"/>
        <v>0</v>
      </c>
      <c r="BH84" s="151">
        <f t="shared" si="13"/>
        <v>0</v>
      </c>
      <c r="BI84" s="151">
        <f t="shared" si="13"/>
        <v>0</v>
      </c>
      <c r="BJ84" s="151">
        <f t="shared" si="13"/>
        <v>0</v>
      </c>
      <c r="BK84" s="151">
        <f t="shared" si="13"/>
        <v>0</v>
      </c>
      <c r="BL84" s="151">
        <f t="shared" si="13"/>
        <v>4</v>
      </c>
      <c r="BM84" s="151">
        <f t="shared" si="13"/>
        <v>0</v>
      </c>
      <c r="BN84" s="151">
        <f t="shared" si="13"/>
        <v>0</v>
      </c>
      <c r="BO84" s="151">
        <f t="shared" si="13"/>
        <v>0</v>
      </c>
      <c r="BP84" s="151">
        <f t="shared" si="13"/>
        <v>0</v>
      </c>
      <c r="BQ84" s="151">
        <f t="shared" si="13"/>
        <v>0</v>
      </c>
      <c r="BR84" s="151">
        <f t="shared" si="13"/>
        <v>1.798666667</v>
      </c>
      <c r="BS84" s="151">
        <f t="shared" si="13"/>
        <v>0</v>
      </c>
      <c r="BT84" s="151">
        <f t="shared" si="13"/>
        <v>2.58</v>
      </c>
      <c r="BU84" s="151">
        <f t="shared" si="13"/>
        <v>10.91666667</v>
      </c>
      <c r="BV84" s="151">
        <f t="shared" si="13"/>
        <v>0</v>
      </c>
      <c r="BW84" s="151">
        <f t="shared" si="13"/>
        <v>0</v>
      </c>
      <c r="BX84" s="151">
        <f t="shared" si="13"/>
        <v>0</v>
      </c>
      <c r="BY84" s="151">
        <f t="shared" si="13"/>
        <v>0</v>
      </c>
      <c r="BZ84" s="151">
        <f t="shared" si="13"/>
        <v>0</v>
      </c>
      <c r="CA84" s="151">
        <f t="shared" si="13"/>
        <v>0</v>
      </c>
      <c r="CB84" s="151">
        <f t="shared" si="13"/>
        <v>4</v>
      </c>
      <c r="CC84" s="151">
        <f t="shared" si="13"/>
        <v>0</v>
      </c>
      <c r="CD84" s="151">
        <f t="shared" si="13"/>
        <v>0</v>
      </c>
      <c r="CE84" s="151">
        <f t="shared" si="13"/>
        <v>0</v>
      </c>
      <c r="CF84" s="151">
        <f t="shared" si="13"/>
        <v>0</v>
      </c>
      <c r="CG84" s="151">
        <f t="shared" si="13"/>
        <v>0</v>
      </c>
      <c r="CH84" s="151">
        <f t="shared" si="13"/>
        <v>0</v>
      </c>
      <c r="CI84" s="151">
        <f t="shared" si="13"/>
        <v>0</v>
      </c>
      <c r="CJ84" s="151">
        <f t="shared" si="13"/>
        <v>0</v>
      </c>
      <c r="CK84" s="151">
        <f t="shared" si="13"/>
        <v>0</v>
      </c>
      <c r="CL84" s="151">
        <f t="shared" si="13"/>
        <v>0</v>
      </c>
      <c r="CM84" s="151">
        <f t="shared" si="13"/>
        <v>0</v>
      </c>
      <c r="CN84" s="151">
        <f t="shared" si="13"/>
        <v>0</v>
      </c>
      <c r="CO84" s="151">
        <f t="shared" si="13"/>
        <v>0</v>
      </c>
      <c r="CP84" s="151">
        <f t="shared" si="13"/>
        <v>0</v>
      </c>
      <c r="CQ84" s="151">
        <f t="shared" si="13"/>
        <v>0</v>
      </c>
      <c r="CR84" s="151">
        <f t="shared" si="13"/>
        <v>4073.5</v>
      </c>
      <c r="CS84" s="151">
        <f t="shared" si="13"/>
        <v>0</v>
      </c>
      <c r="CT84" s="151">
        <f t="shared" si="13"/>
        <v>43.8567248</v>
      </c>
      <c r="CU84" s="151">
        <f t="shared" si="13"/>
        <v>0</v>
      </c>
      <c r="CV84" s="151">
        <f t="shared" si="13"/>
        <v>15.46666667</v>
      </c>
      <c r="CW84" s="151">
        <f t="shared" si="13"/>
        <v>0</v>
      </c>
      <c r="CX84" s="151">
        <f t="shared" si="13"/>
        <v>0</v>
      </c>
      <c r="CY84" s="151">
        <f t="shared" si="13"/>
        <v>0</v>
      </c>
      <c r="CZ84" s="151">
        <f t="shared" si="13"/>
        <v>1475.9</v>
      </c>
      <c r="DA84" s="151">
        <f t="shared" si="13"/>
        <v>60.67843333</v>
      </c>
      <c r="DB84" s="151">
        <f t="shared" si="13"/>
        <v>1.974040741</v>
      </c>
      <c r="DC84" s="151">
        <f t="shared" si="13"/>
        <v>1.66</v>
      </c>
      <c r="DD84" s="151">
        <f t="shared" si="13"/>
        <v>0.0583</v>
      </c>
      <c r="DE84" s="151">
        <f t="shared" si="13"/>
        <v>1.003333333</v>
      </c>
      <c r="DF84" s="151" t="str">
        <f t="shared" si="13"/>
        <v>#DIV/0!</v>
      </c>
      <c r="DG84" s="151">
        <f t="shared" si="13"/>
        <v>0</v>
      </c>
      <c r="DH84" s="151">
        <f t="shared" si="13"/>
        <v>0</v>
      </c>
      <c r="DI84" s="151">
        <f t="shared" si="13"/>
        <v>0</v>
      </c>
      <c r="DJ84" s="151">
        <f t="shared" si="13"/>
        <v>0</v>
      </c>
      <c r="DK84" s="151">
        <f t="shared" si="13"/>
        <v>0</v>
      </c>
      <c r="DL84" s="151">
        <f t="shared" si="13"/>
        <v>0</v>
      </c>
      <c r="DM84" s="151">
        <f t="shared" si="13"/>
        <v>1.58</v>
      </c>
      <c r="DN84" s="151">
        <f t="shared" si="13"/>
        <v>310.908</v>
      </c>
      <c r="DO84" s="151">
        <f t="shared" si="13"/>
        <v>3.194666667</v>
      </c>
      <c r="DP84" s="151">
        <f t="shared" si="13"/>
        <v>0</v>
      </c>
      <c r="DQ84" s="151">
        <f t="shared" si="13"/>
        <v>0</v>
      </c>
      <c r="DR84" s="151">
        <f t="shared" si="13"/>
        <v>0</v>
      </c>
      <c r="DS84" s="151">
        <f t="shared" si="13"/>
        <v>0</v>
      </c>
      <c r="DT84" s="151">
        <f t="shared" si="13"/>
        <v>0</v>
      </c>
      <c r="DU84" s="151">
        <f t="shared" si="13"/>
        <v>0</v>
      </c>
      <c r="DV84" s="151">
        <f t="shared" si="13"/>
        <v>0</v>
      </c>
      <c r="DW84" s="151">
        <f t="shared" si="13"/>
        <v>3630.633333</v>
      </c>
      <c r="DX84" s="151">
        <f t="shared" si="13"/>
        <v>1.509624446</v>
      </c>
      <c r="DY84" s="151">
        <f t="shared" si="13"/>
        <v>45</v>
      </c>
      <c r="DZ84" s="151">
        <f t="shared" si="13"/>
        <v>0</v>
      </c>
      <c r="EA84" s="151">
        <f t="shared" si="13"/>
        <v>0</v>
      </c>
      <c r="EB84" s="151">
        <f t="shared" si="13"/>
        <v>0</v>
      </c>
      <c r="EC84" s="151">
        <f t="shared" si="13"/>
        <v>0</v>
      </c>
      <c r="ED84" s="151">
        <f t="shared" si="13"/>
        <v>10.94833333</v>
      </c>
      <c r="EE84" s="151">
        <f t="shared" si="13"/>
        <v>0</v>
      </c>
      <c r="EF84" s="151">
        <f t="shared" si="13"/>
        <v>0</v>
      </c>
      <c r="EG84" s="151">
        <f t="shared" si="13"/>
        <v>0</v>
      </c>
      <c r="EH84" s="151">
        <f t="shared" si="13"/>
        <v>0</v>
      </c>
      <c r="EI84" s="151">
        <f t="shared" si="13"/>
        <v>0</v>
      </c>
      <c r="EJ84" s="151">
        <f t="shared" si="13"/>
        <v>0</v>
      </c>
      <c r="EK84" s="151">
        <f t="shared" si="13"/>
        <v>0</v>
      </c>
      <c r="EL84" s="151">
        <f t="shared" si="13"/>
        <v>0</v>
      </c>
    </row>
    <row r="85" ht="17.25" customHeight="1">
      <c r="A85" s="148">
        <v>45992.0</v>
      </c>
      <c r="B85" s="111">
        <v>0.0</v>
      </c>
      <c r="C85" s="111"/>
      <c r="D85" s="111"/>
      <c r="E85" s="111">
        <v>90.0</v>
      </c>
      <c r="F85" s="111">
        <v>27.74</v>
      </c>
      <c r="G85" s="111">
        <v>78.98</v>
      </c>
      <c r="H85" s="111"/>
      <c r="I85" s="111"/>
      <c r="J85" s="111"/>
      <c r="K85" s="111">
        <v>94.0</v>
      </c>
      <c r="L85" s="111"/>
      <c r="M85" s="111">
        <v>13.37</v>
      </c>
      <c r="N85" s="111">
        <v>67.31</v>
      </c>
      <c r="O85" s="111">
        <v>5.83</v>
      </c>
      <c r="P85" s="111"/>
      <c r="Q85" s="111">
        <v>13.37</v>
      </c>
      <c r="R85" s="111">
        <v>67.31</v>
      </c>
      <c r="S85" s="111"/>
      <c r="T85" s="111">
        <v>9.82</v>
      </c>
      <c r="U85" s="1">
        <v>57.63</v>
      </c>
      <c r="V85" s="111"/>
      <c r="W85" s="111">
        <v>13.37</v>
      </c>
      <c r="X85" s="111">
        <v>67.31</v>
      </c>
      <c r="Y85" s="111"/>
      <c r="Z85" s="111">
        <v>10.13</v>
      </c>
      <c r="AA85" s="111">
        <v>56.76</v>
      </c>
      <c r="AB85" s="111"/>
      <c r="AC85" s="111">
        <v>13.37</v>
      </c>
      <c r="AD85" s="111">
        <v>67.31</v>
      </c>
      <c r="AE85" s="111"/>
      <c r="AF85" s="111">
        <v>9.35</v>
      </c>
      <c r="AG85" s="111">
        <v>49.51</v>
      </c>
      <c r="AH85" s="111"/>
      <c r="AI85" s="111"/>
      <c r="AJ85" s="111"/>
      <c r="AK85" s="111"/>
      <c r="AL85" s="111">
        <v>5.66</v>
      </c>
      <c r="AM85" s="111"/>
      <c r="AN85" s="111">
        <v>7.03</v>
      </c>
      <c r="AO85" s="111">
        <v>33.0</v>
      </c>
      <c r="AP85" s="111">
        <v>0.0</v>
      </c>
      <c r="AQ85" s="111">
        <v>0.0</v>
      </c>
      <c r="AR85" s="111">
        <v>0.0</v>
      </c>
      <c r="AS85" s="111"/>
      <c r="AT85" s="142"/>
      <c r="AU85" s="142"/>
      <c r="AV85" s="111">
        <v>12.0</v>
      </c>
      <c r="AW85" s="111"/>
      <c r="AX85" s="111"/>
      <c r="AY85" s="111"/>
      <c r="AZ85" s="111"/>
      <c r="BA85" s="111"/>
      <c r="BB85" s="111">
        <v>5.75</v>
      </c>
      <c r="BC85" s="111"/>
      <c r="BD85" s="111">
        <v>7.06</v>
      </c>
      <c r="BE85" s="111">
        <v>33.0</v>
      </c>
      <c r="BF85" s="111"/>
      <c r="BG85" s="111"/>
      <c r="BH85" s="111"/>
      <c r="BI85" s="111"/>
      <c r="BJ85" s="142"/>
      <c r="BK85" s="111"/>
      <c r="BL85" s="111">
        <v>4.0</v>
      </c>
      <c r="BM85" s="111"/>
      <c r="BN85" s="111"/>
      <c r="BO85" s="111"/>
      <c r="BP85" s="111"/>
      <c r="BQ85" s="111"/>
      <c r="BR85" s="111">
        <v>4.63</v>
      </c>
      <c r="BS85" s="111"/>
      <c r="BT85" s="111">
        <v>7.09</v>
      </c>
      <c r="BU85" s="111">
        <v>30.5</v>
      </c>
      <c r="BV85" s="111"/>
      <c r="BW85" s="111"/>
      <c r="BX85" s="111"/>
      <c r="BY85" s="111"/>
      <c r="BZ85" s="142"/>
      <c r="CA85" s="111"/>
      <c r="CB85" s="111">
        <v>4.0</v>
      </c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>
        <v>7097.0</v>
      </c>
      <c r="CS85" s="111">
        <v>0.0</v>
      </c>
      <c r="CT85" s="111">
        <f t="shared" ref="CT85:CT115" si="14">CR85/E85</f>
        <v>78.85555556</v>
      </c>
      <c r="CU85" s="111"/>
      <c r="CV85" s="111">
        <v>40.0</v>
      </c>
      <c r="CW85" s="111"/>
      <c r="CX85" s="111"/>
      <c r="CY85" s="111"/>
      <c r="CZ85" s="111">
        <v>2800.0</v>
      </c>
      <c r="DA85" s="18">
        <v>95.6</v>
      </c>
      <c r="DB85" s="18">
        <v>3.5</v>
      </c>
      <c r="DC85" s="111">
        <v>2.0</v>
      </c>
      <c r="DD85" s="145">
        <v>0.08</v>
      </c>
      <c r="DE85" s="145">
        <v>2.0</v>
      </c>
      <c r="DF85" s="111">
        <f t="shared" ref="DF85:DF115" si="15">(CZ85/CR85)*100</f>
        <v>39.45329012</v>
      </c>
      <c r="DG85" s="111"/>
      <c r="DH85" s="111"/>
      <c r="DI85" s="111"/>
      <c r="DJ85" s="111"/>
      <c r="DK85" s="111"/>
      <c r="DL85" s="111"/>
      <c r="DM85" s="111">
        <v>0.0</v>
      </c>
      <c r="DN85" s="149">
        <v>279.0</v>
      </c>
      <c r="DO85" s="111">
        <v>0.0</v>
      </c>
      <c r="DP85" s="111"/>
      <c r="DQ85" s="111"/>
      <c r="DR85" s="111"/>
      <c r="DS85" s="111"/>
      <c r="DT85" s="111"/>
      <c r="DU85" s="111"/>
      <c r="DV85" s="111"/>
      <c r="DW85" s="111">
        <v>5520.0</v>
      </c>
      <c r="DX85" s="146">
        <f t="shared" ref="DX85:DX115" si="16">DW85/CZ85</f>
        <v>1.971428571</v>
      </c>
      <c r="DY85" s="111">
        <v>45.0</v>
      </c>
      <c r="DZ85" s="111"/>
      <c r="EA85" s="111"/>
      <c r="EB85" s="111"/>
      <c r="EC85" s="111"/>
      <c r="ED85" s="111">
        <v>20.1</v>
      </c>
      <c r="EE85" s="111"/>
      <c r="EF85" s="111"/>
      <c r="EG85" s="111"/>
      <c r="EH85" s="111"/>
      <c r="EI85" s="111"/>
      <c r="EJ85" s="111"/>
      <c r="EK85" s="147"/>
      <c r="EL85" s="111"/>
    </row>
    <row r="86" ht="17.25" customHeight="1">
      <c r="A86" s="148">
        <v>45993.0</v>
      </c>
      <c r="B86" s="111">
        <v>0.0</v>
      </c>
      <c r="C86" s="111"/>
      <c r="D86" s="111"/>
      <c r="E86" s="111">
        <v>90.0</v>
      </c>
      <c r="F86" s="111">
        <v>29.39</v>
      </c>
      <c r="G86" s="111">
        <v>77.4</v>
      </c>
      <c r="H86" s="111"/>
      <c r="I86" s="111"/>
      <c r="J86" s="111"/>
      <c r="K86" s="111">
        <v>68.0</v>
      </c>
      <c r="L86" s="111"/>
      <c r="M86" s="111">
        <v>12.77</v>
      </c>
      <c r="N86" s="111">
        <v>66.71</v>
      </c>
      <c r="O86" s="111">
        <v>5.79</v>
      </c>
      <c r="P86" s="111"/>
      <c r="Q86" s="111">
        <v>12.77</v>
      </c>
      <c r="R86" s="111">
        <v>66.71</v>
      </c>
      <c r="S86" s="111"/>
      <c r="T86" s="111">
        <v>9.8</v>
      </c>
      <c r="U86" s="111">
        <v>56.73</v>
      </c>
      <c r="V86" s="111"/>
      <c r="W86" s="111">
        <v>12.77</v>
      </c>
      <c r="X86" s="111">
        <v>66.71</v>
      </c>
      <c r="Y86" s="111"/>
      <c r="Z86" s="111">
        <v>9.6</v>
      </c>
      <c r="AA86" s="111">
        <v>55.1</v>
      </c>
      <c r="AB86" s="111"/>
      <c r="AC86" s="111">
        <v>12.77</v>
      </c>
      <c r="AD86" s="111">
        <v>66.71</v>
      </c>
      <c r="AE86" s="111"/>
      <c r="AF86" s="111">
        <v>9.14</v>
      </c>
      <c r="AG86" s="111">
        <v>53.28</v>
      </c>
      <c r="AH86" s="111"/>
      <c r="AI86" s="111"/>
      <c r="AJ86" s="111"/>
      <c r="AK86" s="111"/>
      <c r="AL86" s="111">
        <v>5.56</v>
      </c>
      <c r="AM86" s="111"/>
      <c r="AN86" s="111">
        <v>7.07</v>
      </c>
      <c r="AO86" s="111">
        <v>33.0</v>
      </c>
      <c r="AP86" s="111">
        <v>0.0</v>
      </c>
      <c r="AQ86" s="111">
        <v>0.0</v>
      </c>
      <c r="AR86" s="111">
        <v>0.0</v>
      </c>
      <c r="AS86" s="111"/>
      <c r="AT86" s="142"/>
      <c r="AU86" s="142"/>
      <c r="AV86" s="111">
        <v>12.0</v>
      </c>
      <c r="AW86" s="111"/>
      <c r="AX86" s="111"/>
      <c r="AY86" s="111"/>
      <c r="AZ86" s="111"/>
      <c r="BA86" s="111"/>
      <c r="BB86" s="111">
        <v>5.29</v>
      </c>
      <c r="BC86" s="111"/>
      <c r="BD86" s="111">
        <v>7.08</v>
      </c>
      <c r="BE86" s="111">
        <v>33.0</v>
      </c>
      <c r="BF86" s="111"/>
      <c r="BG86" s="111"/>
      <c r="BH86" s="111"/>
      <c r="BI86" s="111"/>
      <c r="BJ86" s="142"/>
      <c r="BK86" s="111"/>
      <c r="BL86" s="111">
        <v>4.0</v>
      </c>
      <c r="BM86" s="111"/>
      <c r="BN86" s="111"/>
      <c r="BO86" s="111"/>
      <c r="BP86" s="111"/>
      <c r="BQ86" s="111"/>
      <c r="BR86" s="111">
        <v>4.87</v>
      </c>
      <c r="BS86" s="111"/>
      <c r="BT86" s="111">
        <v>7.05</v>
      </c>
      <c r="BU86" s="111">
        <v>31.0</v>
      </c>
      <c r="BV86" s="111"/>
      <c r="BW86" s="111"/>
      <c r="BX86" s="111"/>
      <c r="BY86" s="111"/>
      <c r="BZ86" s="142"/>
      <c r="CA86" s="111"/>
      <c r="CB86" s="111">
        <v>4.0</v>
      </c>
      <c r="CC86" s="111"/>
      <c r="CD86" s="111"/>
      <c r="CE86" s="111"/>
      <c r="CF86" s="111"/>
      <c r="CG86" s="111"/>
      <c r="CH86" s="111"/>
      <c r="CI86" s="111"/>
      <c r="CJ86" s="111"/>
      <c r="CK86" s="111"/>
      <c r="CL86" s="111"/>
      <c r="CM86" s="111"/>
      <c r="CN86" s="111"/>
      <c r="CO86" s="111"/>
      <c r="CP86" s="111"/>
      <c r="CQ86" s="111"/>
      <c r="CR86" s="111">
        <v>7135.0</v>
      </c>
      <c r="CS86" s="111">
        <v>0.0</v>
      </c>
      <c r="CT86" s="111">
        <f t="shared" si="14"/>
        <v>79.27777778</v>
      </c>
      <c r="CU86" s="111"/>
      <c r="CV86" s="111">
        <v>43.0</v>
      </c>
      <c r="CW86" s="111"/>
      <c r="CX86" s="111"/>
      <c r="CY86" s="111"/>
      <c r="CZ86" s="111">
        <v>2780.0</v>
      </c>
      <c r="DA86" s="111">
        <v>96.4</v>
      </c>
      <c r="DB86" s="111">
        <v>2.1</v>
      </c>
      <c r="DC86" s="111">
        <v>2.0</v>
      </c>
      <c r="DD86" s="111">
        <v>0.08</v>
      </c>
      <c r="DE86" s="111">
        <v>2.0</v>
      </c>
      <c r="DF86" s="111">
        <f t="shared" si="15"/>
        <v>38.96285915</v>
      </c>
      <c r="DG86" s="111"/>
      <c r="DH86" s="111"/>
      <c r="DI86" s="111"/>
      <c r="DJ86" s="111"/>
      <c r="DK86" s="111"/>
      <c r="DL86" s="111"/>
      <c r="DM86" s="111">
        <v>0.0</v>
      </c>
      <c r="DN86" s="149">
        <f t="shared" ref="DN86:DN115" si="17">(DN85+DM86)-DO85</f>
        <v>279</v>
      </c>
      <c r="DO86" s="111">
        <v>20.0</v>
      </c>
      <c r="DP86" s="111"/>
      <c r="DQ86" s="111"/>
      <c r="DR86" s="111"/>
      <c r="DS86" s="111"/>
      <c r="DT86" s="111"/>
      <c r="DU86" s="111"/>
      <c r="DV86" s="111"/>
      <c r="DW86" s="111">
        <v>5685.0</v>
      </c>
      <c r="DX86" s="146">
        <f t="shared" si="16"/>
        <v>2.044964029</v>
      </c>
      <c r="DY86" s="111">
        <v>45.0</v>
      </c>
      <c r="DZ86" s="111"/>
      <c r="EA86" s="111"/>
      <c r="EB86" s="111"/>
      <c r="EC86" s="111"/>
      <c r="ED86" s="111">
        <v>18.2</v>
      </c>
      <c r="EE86" s="111"/>
      <c r="EF86" s="111"/>
      <c r="EG86" s="111"/>
      <c r="EH86" s="111"/>
      <c r="EI86" s="111"/>
      <c r="EJ86" s="111"/>
      <c r="EK86" s="147"/>
      <c r="EL86" s="111"/>
    </row>
    <row r="87" ht="17.25" customHeight="1">
      <c r="A87" s="148">
        <v>45994.0</v>
      </c>
      <c r="B87" s="111">
        <v>0.0</v>
      </c>
      <c r="C87" s="111"/>
      <c r="D87" s="111"/>
      <c r="E87" s="111">
        <v>90.0</v>
      </c>
      <c r="F87" s="111">
        <v>29.78</v>
      </c>
      <c r="G87" s="111">
        <v>78.13</v>
      </c>
      <c r="H87" s="111"/>
      <c r="I87" s="111"/>
      <c r="J87" s="111"/>
      <c r="K87" s="111">
        <v>74.0</v>
      </c>
      <c r="L87" s="111"/>
      <c r="M87" s="111">
        <v>12.78</v>
      </c>
      <c r="N87" s="111">
        <v>69.64</v>
      </c>
      <c r="O87" s="111">
        <v>5.75</v>
      </c>
      <c r="P87" s="111"/>
      <c r="Q87" s="111">
        <v>12.78</v>
      </c>
      <c r="R87" s="111">
        <v>69.64</v>
      </c>
      <c r="S87" s="111"/>
      <c r="T87" s="111">
        <v>9.7</v>
      </c>
      <c r="U87" s="111">
        <v>57.83</v>
      </c>
      <c r="V87" s="111"/>
      <c r="W87" s="111">
        <v>12.78</v>
      </c>
      <c r="X87" s="111">
        <v>69.64</v>
      </c>
      <c r="Y87" s="111"/>
      <c r="Z87" s="111">
        <v>9.61</v>
      </c>
      <c r="AA87" s="111">
        <v>54.83</v>
      </c>
      <c r="AB87" s="111"/>
      <c r="AC87" s="111">
        <v>12.78</v>
      </c>
      <c r="AD87" s="111">
        <v>69.64</v>
      </c>
      <c r="AE87" s="111"/>
      <c r="AF87" s="111">
        <v>9.21</v>
      </c>
      <c r="AG87" s="111">
        <v>52.66</v>
      </c>
      <c r="AH87" s="111"/>
      <c r="AI87" s="111"/>
      <c r="AJ87" s="111"/>
      <c r="AK87" s="111"/>
      <c r="AL87" s="111">
        <v>5.61</v>
      </c>
      <c r="AM87" s="111"/>
      <c r="AN87" s="111">
        <v>6.97</v>
      </c>
      <c r="AO87" s="111">
        <v>33.0</v>
      </c>
      <c r="AP87" s="111">
        <v>0.0</v>
      </c>
      <c r="AQ87" s="111">
        <v>0.0</v>
      </c>
      <c r="AR87" s="111">
        <v>0.0</v>
      </c>
      <c r="AS87" s="111"/>
      <c r="AT87" s="142"/>
      <c r="AU87" s="142"/>
      <c r="AV87" s="111">
        <v>12.0</v>
      </c>
      <c r="AW87" s="111"/>
      <c r="AX87" s="111"/>
      <c r="AY87" s="111"/>
      <c r="AZ87" s="111"/>
      <c r="BA87" s="111"/>
      <c r="BB87" s="111">
        <v>5.27</v>
      </c>
      <c r="BC87" s="111"/>
      <c r="BD87" s="111">
        <v>6.95</v>
      </c>
      <c r="BE87" s="111">
        <v>33.0</v>
      </c>
      <c r="BF87" s="111"/>
      <c r="BG87" s="111"/>
      <c r="BH87" s="111"/>
      <c r="BI87" s="111"/>
      <c r="BJ87" s="142"/>
      <c r="BK87" s="111"/>
      <c r="BL87" s="111">
        <v>4.0</v>
      </c>
      <c r="BM87" s="111"/>
      <c r="BN87" s="111"/>
      <c r="BO87" s="111"/>
      <c r="BP87" s="111"/>
      <c r="BQ87" s="111"/>
      <c r="BR87" s="111">
        <v>4.85</v>
      </c>
      <c r="BS87" s="111"/>
      <c r="BT87" s="111">
        <v>7.01</v>
      </c>
      <c r="BU87" s="111">
        <v>31.0</v>
      </c>
      <c r="BV87" s="111"/>
      <c r="BW87" s="111"/>
      <c r="BX87" s="111"/>
      <c r="BY87" s="111"/>
      <c r="BZ87" s="142"/>
      <c r="CA87" s="111"/>
      <c r="CB87" s="111">
        <v>4.0</v>
      </c>
      <c r="CC87" s="111"/>
      <c r="CD87" s="111"/>
      <c r="CE87" s="111"/>
      <c r="CF87" s="111"/>
      <c r="CG87" s="111"/>
      <c r="CH87" s="111"/>
      <c r="CI87" s="111"/>
      <c r="CJ87" s="111"/>
      <c r="CK87" s="111"/>
      <c r="CL87" s="111"/>
      <c r="CM87" s="111"/>
      <c r="CN87" s="111"/>
      <c r="CO87" s="111"/>
      <c r="CP87" s="111"/>
      <c r="CQ87" s="111"/>
      <c r="CR87" s="111">
        <v>7306.0</v>
      </c>
      <c r="CS87" s="111">
        <v>0.0</v>
      </c>
      <c r="CT87" s="111">
        <f t="shared" si="14"/>
        <v>81.17777778</v>
      </c>
      <c r="CU87" s="111"/>
      <c r="CV87" s="111">
        <v>44.0</v>
      </c>
      <c r="CW87" s="111"/>
      <c r="CX87" s="111"/>
      <c r="CY87" s="111"/>
      <c r="CZ87" s="111">
        <v>2804.0</v>
      </c>
      <c r="DA87" s="18">
        <v>95.6</v>
      </c>
      <c r="DB87" s="18">
        <v>3.5</v>
      </c>
      <c r="DC87" s="111">
        <v>2.0</v>
      </c>
      <c r="DD87" s="145">
        <v>0.08</v>
      </c>
      <c r="DE87" s="145">
        <v>2.0</v>
      </c>
      <c r="DF87" s="111">
        <f t="shared" si="15"/>
        <v>38.37941418</v>
      </c>
      <c r="DG87" s="111"/>
      <c r="DH87" s="111"/>
      <c r="DI87" s="111"/>
      <c r="DJ87" s="111"/>
      <c r="DK87" s="111"/>
      <c r="DL87" s="111"/>
      <c r="DM87" s="111">
        <v>0.0</v>
      </c>
      <c r="DN87" s="149">
        <f t="shared" si="17"/>
        <v>259</v>
      </c>
      <c r="DO87" s="111">
        <v>49.0</v>
      </c>
      <c r="DP87" s="111"/>
      <c r="DQ87" s="111"/>
      <c r="DR87" s="111"/>
      <c r="DS87" s="111"/>
      <c r="DT87" s="111"/>
      <c r="DU87" s="111"/>
      <c r="DV87" s="111"/>
      <c r="DW87" s="111">
        <v>6497.0</v>
      </c>
      <c r="DX87" s="146">
        <f t="shared" si="16"/>
        <v>2.317047076</v>
      </c>
      <c r="DY87" s="111">
        <v>45.0</v>
      </c>
      <c r="DZ87" s="111"/>
      <c r="EA87" s="111"/>
      <c r="EB87" s="111"/>
      <c r="EC87" s="111"/>
      <c r="ED87" s="111">
        <v>19.35</v>
      </c>
      <c r="EE87" s="111"/>
      <c r="EF87" s="111"/>
      <c r="EG87" s="111"/>
      <c r="EH87" s="111"/>
      <c r="EI87" s="111"/>
      <c r="EJ87" s="111"/>
      <c r="EK87" s="147"/>
      <c r="EL87" s="111"/>
    </row>
    <row r="88" ht="17.25" customHeight="1">
      <c r="A88" s="148">
        <v>45995.0</v>
      </c>
      <c r="B88" s="111">
        <v>0.0</v>
      </c>
      <c r="C88" s="111"/>
      <c r="D88" s="111"/>
      <c r="E88" s="111">
        <v>90.0</v>
      </c>
      <c r="F88" s="111">
        <v>0.0</v>
      </c>
      <c r="G88" s="111">
        <v>0.0</v>
      </c>
      <c r="H88" s="111"/>
      <c r="I88" s="111"/>
      <c r="J88" s="111"/>
      <c r="K88" s="111">
        <v>81.0</v>
      </c>
      <c r="L88" s="111"/>
      <c r="M88" s="111">
        <v>10.95</v>
      </c>
      <c r="N88" s="111">
        <v>66.21</v>
      </c>
      <c r="O88" s="111">
        <v>5.97</v>
      </c>
      <c r="P88" s="111"/>
      <c r="Q88" s="111">
        <v>10.95</v>
      </c>
      <c r="R88" s="111">
        <v>66.21</v>
      </c>
      <c r="S88" s="111"/>
      <c r="T88" s="111">
        <v>9.85</v>
      </c>
      <c r="U88" s="111">
        <v>58.47</v>
      </c>
      <c r="V88" s="111"/>
      <c r="W88" s="111">
        <v>10.95</v>
      </c>
      <c r="X88" s="111">
        <v>66.21</v>
      </c>
      <c r="Y88" s="111"/>
      <c r="Z88" s="111">
        <v>9.94</v>
      </c>
      <c r="AA88" s="111">
        <v>57.14</v>
      </c>
      <c r="AB88" s="111"/>
      <c r="AC88" s="111">
        <v>10.95</v>
      </c>
      <c r="AD88" s="111">
        <v>66.21</v>
      </c>
      <c r="AE88" s="111"/>
      <c r="AF88" s="111">
        <v>9.45</v>
      </c>
      <c r="AG88" s="111">
        <v>54.7</v>
      </c>
      <c r="AH88" s="111"/>
      <c r="AI88" s="111"/>
      <c r="AJ88" s="111"/>
      <c r="AK88" s="111"/>
      <c r="AL88" s="111">
        <v>5.76</v>
      </c>
      <c r="AM88" s="111"/>
      <c r="AN88" s="111">
        <v>6.97</v>
      </c>
      <c r="AO88" s="111">
        <v>34.0</v>
      </c>
      <c r="AP88" s="111">
        <v>0.0</v>
      </c>
      <c r="AQ88" s="111">
        <v>0.0</v>
      </c>
      <c r="AR88" s="111">
        <v>0.0</v>
      </c>
      <c r="AS88" s="111"/>
      <c r="AT88" s="142"/>
      <c r="AU88" s="142"/>
      <c r="AV88" s="111">
        <v>12.0</v>
      </c>
      <c r="AW88" s="111"/>
      <c r="AX88" s="111"/>
      <c r="AY88" s="111"/>
      <c r="AZ88" s="111"/>
      <c r="BA88" s="111"/>
      <c r="BB88" s="111">
        <v>5.68</v>
      </c>
      <c r="BC88" s="111"/>
      <c r="BD88" s="111">
        <v>6.95</v>
      </c>
      <c r="BE88" s="111">
        <v>33.0</v>
      </c>
      <c r="BF88" s="111"/>
      <c r="BG88" s="111"/>
      <c r="BH88" s="111"/>
      <c r="BI88" s="111"/>
      <c r="BJ88" s="142"/>
      <c r="BK88" s="111"/>
      <c r="BL88" s="111">
        <v>4.0</v>
      </c>
      <c r="BM88" s="111"/>
      <c r="BN88" s="111"/>
      <c r="BO88" s="111"/>
      <c r="BP88" s="111"/>
      <c r="BQ88" s="111"/>
      <c r="BR88" s="111">
        <v>5.17</v>
      </c>
      <c r="BS88" s="111"/>
      <c r="BT88" s="111">
        <v>6.98</v>
      </c>
      <c r="BU88" s="111">
        <v>31.0</v>
      </c>
      <c r="BV88" s="111"/>
      <c r="BW88" s="111"/>
      <c r="BX88" s="111"/>
      <c r="BY88" s="111"/>
      <c r="BZ88" s="142"/>
      <c r="CA88" s="111"/>
      <c r="CB88" s="111">
        <v>4.0</v>
      </c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>
        <v>9067.0</v>
      </c>
      <c r="CS88" s="111">
        <v>0.0</v>
      </c>
      <c r="CT88" s="111">
        <f t="shared" si="14"/>
        <v>100.7444444</v>
      </c>
      <c r="CU88" s="111"/>
      <c r="CV88" s="111">
        <v>40.0</v>
      </c>
      <c r="CW88" s="111"/>
      <c r="CX88" s="111"/>
      <c r="CY88" s="111"/>
      <c r="CZ88" s="111">
        <v>3600.0</v>
      </c>
      <c r="DA88" s="111">
        <v>95.744</v>
      </c>
      <c r="DB88" s="111">
        <v>3.106</v>
      </c>
      <c r="DC88" s="111">
        <v>5.0</v>
      </c>
      <c r="DD88" s="111">
        <v>0.1</v>
      </c>
      <c r="DE88" s="111">
        <v>1.0</v>
      </c>
      <c r="DF88" s="111">
        <f t="shared" si="15"/>
        <v>39.70442263</v>
      </c>
      <c r="DG88" s="111"/>
      <c r="DH88" s="111"/>
      <c r="DI88" s="111"/>
      <c r="DJ88" s="111"/>
      <c r="DK88" s="111"/>
      <c r="DL88" s="111"/>
      <c r="DM88" s="111">
        <v>3.4</v>
      </c>
      <c r="DN88" s="149">
        <f t="shared" si="17"/>
        <v>213.4</v>
      </c>
      <c r="DO88" s="111">
        <v>15.0</v>
      </c>
      <c r="DP88" s="111"/>
      <c r="DQ88" s="111"/>
      <c r="DR88" s="111"/>
      <c r="DS88" s="111"/>
      <c r="DT88" s="111"/>
      <c r="DU88" s="111"/>
      <c r="DV88" s="111"/>
      <c r="DW88" s="111">
        <v>6345.0</v>
      </c>
      <c r="DX88" s="146">
        <f t="shared" si="16"/>
        <v>1.7625</v>
      </c>
      <c r="DY88" s="111">
        <v>45.0</v>
      </c>
      <c r="DZ88" s="111"/>
      <c r="EA88" s="111"/>
      <c r="EB88" s="111"/>
      <c r="EC88" s="111"/>
      <c r="ED88" s="111">
        <v>24.0</v>
      </c>
      <c r="EE88" s="111"/>
      <c r="EF88" s="111"/>
      <c r="EG88" s="111"/>
      <c r="EH88" s="111"/>
      <c r="EI88" s="111"/>
      <c r="EJ88" s="111"/>
      <c r="EK88" s="147"/>
      <c r="EL88" s="111"/>
    </row>
    <row r="89" ht="17.25" customHeight="1">
      <c r="A89" s="148">
        <v>45996.0</v>
      </c>
      <c r="B89" s="111">
        <v>0.0</v>
      </c>
      <c r="C89" s="111"/>
      <c r="D89" s="111"/>
      <c r="E89" s="111">
        <v>100.0</v>
      </c>
      <c r="F89" s="111">
        <v>27.99</v>
      </c>
      <c r="G89" s="111">
        <v>74.69</v>
      </c>
      <c r="H89" s="111"/>
      <c r="I89" s="111"/>
      <c r="J89" s="111"/>
      <c r="K89" s="111">
        <v>90.0</v>
      </c>
      <c r="L89" s="111"/>
      <c r="M89" s="111">
        <v>12.12</v>
      </c>
      <c r="N89" s="111">
        <v>69.38</v>
      </c>
      <c r="O89" s="111">
        <v>5.67</v>
      </c>
      <c r="P89" s="111"/>
      <c r="Q89" s="111">
        <v>12.12</v>
      </c>
      <c r="R89" s="111">
        <v>69.38</v>
      </c>
      <c r="S89" s="111"/>
      <c r="T89" s="111">
        <v>9.72</v>
      </c>
      <c r="U89" s="111">
        <v>58.33</v>
      </c>
      <c r="V89" s="111"/>
      <c r="W89" s="111">
        <v>12.12</v>
      </c>
      <c r="X89" s="111">
        <v>69.38</v>
      </c>
      <c r="Y89" s="111"/>
      <c r="Z89" s="111">
        <v>9.54</v>
      </c>
      <c r="AA89" s="111">
        <v>56.7</v>
      </c>
      <c r="AB89" s="111"/>
      <c r="AC89" s="111">
        <v>12.12</v>
      </c>
      <c r="AD89" s="111">
        <v>69.38</v>
      </c>
      <c r="AE89" s="111"/>
      <c r="AF89" s="111">
        <v>9.12</v>
      </c>
      <c r="AG89" s="111">
        <v>53.17</v>
      </c>
      <c r="AH89" s="111"/>
      <c r="AI89" s="111"/>
      <c r="AJ89" s="111"/>
      <c r="AK89" s="111"/>
      <c r="AL89" s="111">
        <v>5.67</v>
      </c>
      <c r="AM89" s="111">
        <v>107.0</v>
      </c>
      <c r="AN89" s="111">
        <v>6.98</v>
      </c>
      <c r="AO89" s="111">
        <v>34.0</v>
      </c>
      <c r="AP89" s="111">
        <v>0.0</v>
      </c>
      <c r="AQ89" s="111">
        <v>0.0</v>
      </c>
      <c r="AR89" s="111">
        <v>0.0</v>
      </c>
      <c r="AS89" s="111"/>
      <c r="AT89" s="142"/>
      <c r="AU89" s="142"/>
      <c r="AV89" s="111">
        <v>12.0</v>
      </c>
      <c r="AW89" s="111"/>
      <c r="AX89" s="111"/>
      <c r="AY89" s="111"/>
      <c r="AZ89" s="111"/>
      <c r="BA89" s="111"/>
      <c r="BB89" s="111">
        <v>5.41</v>
      </c>
      <c r="BC89" s="111">
        <v>98.98</v>
      </c>
      <c r="BD89" s="111">
        <v>6.97</v>
      </c>
      <c r="BE89" s="111">
        <v>33.5</v>
      </c>
      <c r="BF89" s="111"/>
      <c r="BG89" s="111"/>
      <c r="BH89" s="111"/>
      <c r="BI89" s="111"/>
      <c r="BJ89" s="142"/>
      <c r="BK89" s="111"/>
      <c r="BL89" s="111">
        <v>4.0</v>
      </c>
      <c r="BM89" s="111"/>
      <c r="BN89" s="111"/>
      <c r="BO89" s="111"/>
      <c r="BP89" s="111"/>
      <c r="BQ89" s="111"/>
      <c r="BR89" s="111">
        <v>4.85</v>
      </c>
      <c r="BS89" s="111">
        <v>106.47</v>
      </c>
      <c r="BT89" s="111">
        <v>6.99</v>
      </c>
      <c r="BU89" s="111">
        <v>31.5</v>
      </c>
      <c r="BV89" s="111"/>
      <c r="BW89" s="111"/>
      <c r="BX89" s="111"/>
      <c r="BY89" s="111"/>
      <c r="BZ89" s="142"/>
      <c r="CA89" s="111"/>
      <c r="CB89" s="111">
        <v>4.0</v>
      </c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>
        <v>7600.0</v>
      </c>
      <c r="CS89" s="111">
        <v>0.0</v>
      </c>
      <c r="CT89" s="111">
        <f t="shared" si="14"/>
        <v>76</v>
      </c>
      <c r="CU89" s="111"/>
      <c r="CV89" s="111">
        <v>41.0</v>
      </c>
      <c r="CW89" s="111"/>
      <c r="CX89" s="111"/>
      <c r="CY89" s="111"/>
      <c r="CZ89" s="111">
        <v>3080.0</v>
      </c>
      <c r="DA89" s="111">
        <v>95.744</v>
      </c>
      <c r="DB89" s="111">
        <v>3.106</v>
      </c>
      <c r="DC89" s="111">
        <v>3.0</v>
      </c>
      <c r="DD89" s="111">
        <v>0.1</v>
      </c>
      <c r="DE89" s="111">
        <v>1.0</v>
      </c>
      <c r="DF89" s="111">
        <f t="shared" si="15"/>
        <v>40.52631579</v>
      </c>
      <c r="DG89" s="111"/>
      <c r="DH89" s="111"/>
      <c r="DI89" s="111"/>
      <c r="DJ89" s="111"/>
      <c r="DK89" s="111"/>
      <c r="DL89" s="111"/>
      <c r="DM89" s="111">
        <v>6.0</v>
      </c>
      <c r="DN89" s="149">
        <f t="shared" si="17"/>
        <v>204.4</v>
      </c>
      <c r="DO89" s="111">
        <v>0.0</v>
      </c>
      <c r="DP89" s="111"/>
      <c r="DQ89" s="111"/>
      <c r="DR89" s="111"/>
      <c r="DS89" s="111"/>
      <c r="DT89" s="111"/>
      <c r="DU89" s="111"/>
      <c r="DV89" s="111"/>
      <c r="DW89" s="111">
        <v>6015.0</v>
      </c>
      <c r="DX89" s="146">
        <f t="shared" si="16"/>
        <v>1.952922078</v>
      </c>
      <c r="DY89" s="111">
        <v>45.0</v>
      </c>
      <c r="DZ89" s="111"/>
      <c r="EA89" s="111"/>
      <c r="EB89" s="111"/>
      <c r="EC89" s="111"/>
      <c r="ED89" s="111">
        <v>20.5</v>
      </c>
      <c r="EE89" s="111"/>
      <c r="EF89" s="111"/>
      <c r="EG89" s="111"/>
      <c r="EH89" s="111"/>
      <c r="EI89" s="111"/>
      <c r="EJ89" s="111"/>
      <c r="EK89" s="147"/>
      <c r="EL89" s="111"/>
    </row>
    <row r="90" ht="17.25" customHeight="1">
      <c r="A90" s="148">
        <v>45997.0</v>
      </c>
      <c r="B90" s="111">
        <v>0.0</v>
      </c>
      <c r="C90" s="111"/>
      <c r="D90" s="111"/>
      <c r="E90" s="111">
        <v>100.0</v>
      </c>
      <c r="F90" s="111">
        <v>28.84</v>
      </c>
      <c r="G90" s="111">
        <v>77.53</v>
      </c>
      <c r="H90" s="111"/>
      <c r="I90" s="111"/>
      <c r="J90" s="111"/>
      <c r="K90" s="111">
        <v>80.0</v>
      </c>
      <c r="L90" s="111"/>
      <c r="M90" s="111">
        <v>12.9</v>
      </c>
      <c r="N90" s="111">
        <v>76.97</v>
      </c>
      <c r="O90" s="111">
        <v>5.67</v>
      </c>
      <c r="P90" s="111"/>
      <c r="Q90" s="111">
        <v>12.9</v>
      </c>
      <c r="R90" s="111">
        <v>76.97</v>
      </c>
      <c r="S90" s="111"/>
      <c r="T90" s="111">
        <v>9.63</v>
      </c>
      <c r="U90" s="111">
        <v>57.11</v>
      </c>
      <c r="V90" s="111"/>
      <c r="W90" s="111">
        <v>12.9</v>
      </c>
      <c r="X90" s="111">
        <v>76.97</v>
      </c>
      <c r="Y90" s="111"/>
      <c r="Z90" s="111">
        <v>9.64</v>
      </c>
      <c r="AA90" s="111">
        <v>54.46</v>
      </c>
      <c r="AB90" s="111"/>
      <c r="AC90" s="111">
        <v>12.9</v>
      </c>
      <c r="AD90" s="111">
        <v>76.97</v>
      </c>
      <c r="AE90" s="111"/>
      <c r="AF90" s="111">
        <v>9.13</v>
      </c>
      <c r="AG90" s="111">
        <v>52.13</v>
      </c>
      <c r="AH90" s="111"/>
      <c r="AI90" s="111"/>
      <c r="AJ90" s="111"/>
      <c r="AK90" s="111"/>
      <c r="AL90" s="111">
        <v>5.5</v>
      </c>
      <c r="AM90" s="111"/>
      <c r="AN90" s="111">
        <v>7.03</v>
      </c>
      <c r="AO90" s="111">
        <v>34.0</v>
      </c>
      <c r="AP90" s="111">
        <v>0.0</v>
      </c>
      <c r="AQ90" s="111">
        <v>0.0</v>
      </c>
      <c r="AR90" s="111">
        <v>0.0</v>
      </c>
      <c r="AS90" s="111"/>
      <c r="AT90" s="142"/>
      <c r="AU90" s="142"/>
      <c r="AV90" s="111">
        <v>12.0</v>
      </c>
      <c r="AW90" s="111"/>
      <c r="AX90" s="111"/>
      <c r="AY90" s="111"/>
      <c r="AZ90" s="111"/>
      <c r="BA90" s="111"/>
      <c r="BB90" s="111">
        <v>5.5</v>
      </c>
      <c r="BC90" s="111"/>
      <c r="BD90" s="111">
        <v>7.01</v>
      </c>
      <c r="BE90" s="111">
        <v>33.5</v>
      </c>
      <c r="BF90" s="111"/>
      <c r="BG90" s="111"/>
      <c r="BH90" s="111"/>
      <c r="BI90" s="111"/>
      <c r="BJ90" s="142"/>
      <c r="BK90" s="111"/>
      <c r="BL90" s="111">
        <v>4.0</v>
      </c>
      <c r="BM90" s="111"/>
      <c r="BN90" s="111"/>
      <c r="BO90" s="111"/>
      <c r="BP90" s="111"/>
      <c r="BQ90" s="111"/>
      <c r="BR90" s="111">
        <v>4.76</v>
      </c>
      <c r="BS90" s="111"/>
      <c r="BT90" s="111">
        <v>7.04</v>
      </c>
      <c r="BU90" s="111">
        <v>31.5</v>
      </c>
      <c r="BV90" s="111"/>
      <c r="BW90" s="111"/>
      <c r="BX90" s="111"/>
      <c r="BY90" s="111"/>
      <c r="BZ90" s="142"/>
      <c r="CA90" s="111"/>
      <c r="CB90" s="111">
        <v>4.0</v>
      </c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>
        <v>8265.0</v>
      </c>
      <c r="CS90" s="111">
        <v>0.0</v>
      </c>
      <c r="CT90" s="111">
        <f t="shared" si="14"/>
        <v>82.65</v>
      </c>
      <c r="CU90" s="111"/>
      <c r="CV90" s="111">
        <v>43.0</v>
      </c>
      <c r="CW90" s="111"/>
      <c r="CX90" s="111"/>
      <c r="CY90" s="111"/>
      <c r="CZ90" s="111">
        <v>3169.0</v>
      </c>
      <c r="DA90" s="111">
        <v>95.449</v>
      </c>
      <c r="DB90" s="111">
        <v>3.255</v>
      </c>
      <c r="DC90" s="111">
        <v>2.0</v>
      </c>
      <c r="DD90" s="111">
        <v>0.1</v>
      </c>
      <c r="DE90" s="111">
        <v>1.1</v>
      </c>
      <c r="DF90" s="111">
        <f t="shared" si="15"/>
        <v>38.34240774</v>
      </c>
      <c r="DG90" s="111"/>
      <c r="DH90" s="111"/>
      <c r="DI90" s="111"/>
      <c r="DJ90" s="111"/>
      <c r="DK90" s="111"/>
      <c r="DL90" s="111"/>
      <c r="DM90" s="111">
        <v>4.0</v>
      </c>
      <c r="DN90" s="149">
        <f t="shared" si="17"/>
        <v>208.4</v>
      </c>
      <c r="DO90" s="111">
        <v>0.0</v>
      </c>
      <c r="DP90" s="111"/>
      <c r="DQ90" s="111"/>
      <c r="DR90" s="111"/>
      <c r="DS90" s="111"/>
      <c r="DT90" s="111"/>
      <c r="DU90" s="111"/>
      <c r="DV90" s="111"/>
      <c r="DW90" s="111">
        <v>7245.0</v>
      </c>
      <c r="DX90" s="146">
        <f t="shared" si="16"/>
        <v>2.286210161</v>
      </c>
      <c r="DY90" s="111">
        <v>45.0</v>
      </c>
      <c r="DZ90" s="111"/>
      <c r="EA90" s="111"/>
      <c r="EB90" s="111"/>
      <c r="EC90" s="111"/>
      <c r="ED90" s="111">
        <v>22.3</v>
      </c>
      <c r="EE90" s="111"/>
      <c r="EF90" s="111"/>
      <c r="EG90" s="111"/>
      <c r="EH90" s="111"/>
      <c r="EI90" s="111"/>
      <c r="EJ90" s="111"/>
      <c r="EK90" s="147"/>
      <c r="EL90" s="111"/>
    </row>
    <row r="91" ht="17.25" customHeight="1">
      <c r="A91" s="148">
        <v>45998.0</v>
      </c>
      <c r="B91" s="111">
        <v>0.0</v>
      </c>
      <c r="C91" s="111"/>
      <c r="D91" s="111"/>
      <c r="E91" s="111">
        <v>100.0</v>
      </c>
      <c r="F91" s="111">
        <v>0.0</v>
      </c>
      <c r="G91" s="111">
        <v>0.0</v>
      </c>
      <c r="H91" s="111"/>
      <c r="I91" s="111"/>
      <c r="J91" s="111"/>
      <c r="K91" s="111">
        <v>80.0</v>
      </c>
      <c r="L91" s="111"/>
      <c r="M91" s="111">
        <v>0.0</v>
      </c>
      <c r="N91" s="111">
        <v>0.0</v>
      </c>
      <c r="O91" s="111">
        <v>0.0</v>
      </c>
      <c r="P91" s="111"/>
      <c r="Q91" s="111">
        <v>0.0</v>
      </c>
      <c r="R91" s="111">
        <v>0.0</v>
      </c>
      <c r="S91" s="111"/>
      <c r="T91" s="111">
        <v>0.0</v>
      </c>
      <c r="U91" s="111">
        <v>0.0</v>
      </c>
      <c r="V91" s="111"/>
      <c r="W91" s="111">
        <v>0.0</v>
      </c>
      <c r="X91" s="111">
        <v>0.0</v>
      </c>
      <c r="Y91" s="111"/>
      <c r="Z91" s="111">
        <v>0.0</v>
      </c>
      <c r="AA91" s="111">
        <v>0.0</v>
      </c>
      <c r="AB91" s="111"/>
      <c r="AC91" s="111">
        <v>0.0</v>
      </c>
      <c r="AD91" s="111">
        <v>0.0</v>
      </c>
      <c r="AE91" s="111"/>
      <c r="AF91" s="111">
        <v>0.0</v>
      </c>
      <c r="AG91" s="111">
        <v>0.0</v>
      </c>
      <c r="AH91" s="111"/>
      <c r="AI91" s="111"/>
      <c r="AJ91" s="111"/>
      <c r="AK91" s="111"/>
      <c r="AL91" s="111">
        <v>0.0</v>
      </c>
      <c r="AM91" s="111"/>
      <c r="AN91" s="111">
        <v>0.0</v>
      </c>
      <c r="AO91" s="111">
        <v>0.0</v>
      </c>
      <c r="AP91" s="111">
        <v>0.0</v>
      </c>
      <c r="AQ91" s="111">
        <v>0.0</v>
      </c>
      <c r="AR91" s="111">
        <v>0.0</v>
      </c>
      <c r="AS91" s="111"/>
      <c r="AT91" s="142"/>
      <c r="AU91" s="142"/>
      <c r="AV91" s="111">
        <v>12.0</v>
      </c>
      <c r="AW91" s="111"/>
      <c r="AX91" s="111"/>
      <c r="AY91" s="111"/>
      <c r="AZ91" s="111"/>
      <c r="BA91" s="111"/>
      <c r="BB91" s="111">
        <v>0.0</v>
      </c>
      <c r="BC91" s="111"/>
      <c r="BD91" s="111">
        <v>0.0</v>
      </c>
      <c r="BE91" s="111">
        <v>0.0</v>
      </c>
      <c r="BF91" s="111"/>
      <c r="BG91" s="111"/>
      <c r="BH91" s="111"/>
      <c r="BI91" s="111"/>
      <c r="BJ91" s="142"/>
      <c r="BK91" s="111"/>
      <c r="BL91" s="111">
        <v>4.0</v>
      </c>
      <c r="BM91" s="111"/>
      <c r="BN91" s="111"/>
      <c r="BO91" s="111"/>
      <c r="BP91" s="111"/>
      <c r="BQ91" s="111"/>
      <c r="BR91" s="111">
        <v>0.0</v>
      </c>
      <c r="BS91" s="111"/>
      <c r="BT91" s="111">
        <v>0.0</v>
      </c>
      <c r="BU91" s="111">
        <v>0.0</v>
      </c>
      <c r="BV91" s="111"/>
      <c r="BW91" s="111"/>
      <c r="BX91" s="111"/>
      <c r="BY91" s="111"/>
      <c r="BZ91" s="142"/>
      <c r="CA91" s="111"/>
      <c r="CB91" s="111">
        <v>4.0</v>
      </c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>
        <v>8175.0</v>
      </c>
      <c r="CS91" s="111">
        <v>0.0</v>
      </c>
      <c r="CT91" s="111">
        <f t="shared" si="14"/>
        <v>81.75</v>
      </c>
      <c r="CU91" s="111"/>
      <c r="CV91" s="111">
        <v>0.0</v>
      </c>
      <c r="CW91" s="111"/>
      <c r="CX91" s="111"/>
      <c r="CY91" s="111"/>
      <c r="CZ91" s="111">
        <v>3112.0</v>
      </c>
      <c r="DA91" s="111">
        <v>95.449</v>
      </c>
      <c r="DB91" s="111">
        <v>3.255</v>
      </c>
      <c r="DC91" s="111">
        <v>2.0</v>
      </c>
      <c r="DD91" s="111">
        <v>0.1</v>
      </c>
      <c r="DE91" s="111">
        <v>1.1</v>
      </c>
      <c r="DF91" s="111">
        <f t="shared" si="15"/>
        <v>38.06727829</v>
      </c>
      <c r="DG91" s="111"/>
      <c r="DH91" s="111"/>
      <c r="DI91" s="111"/>
      <c r="DJ91" s="111"/>
      <c r="DK91" s="111"/>
      <c r="DL91" s="111"/>
      <c r="DM91" s="111">
        <v>9.4</v>
      </c>
      <c r="DN91" s="149">
        <f t="shared" si="17"/>
        <v>217.8</v>
      </c>
      <c r="DO91" s="111">
        <v>0.0</v>
      </c>
      <c r="DP91" s="111"/>
      <c r="DQ91" s="111"/>
      <c r="DR91" s="111"/>
      <c r="DS91" s="111"/>
      <c r="DT91" s="111"/>
      <c r="DU91" s="111"/>
      <c r="DV91" s="111"/>
      <c r="DW91" s="111">
        <v>7050.0</v>
      </c>
      <c r="DX91" s="146">
        <f t="shared" si="16"/>
        <v>2.265424165</v>
      </c>
      <c r="DY91" s="111">
        <v>45.0</v>
      </c>
      <c r="DZ91" s="111"/>
      <c r="EA91" s="111"/>
      <c r="EB91" s="111"/>
      <c r="EC91" s="111"/>
      <c r="ED91" s="111">
        <v>21.4</v>
      </c>
      <c r="EE91" s="111"/>
      <c r="EF91" s="111"/>
      <c r="EG91" s="111"/>
      <c r="EH91" s="111"/>
      <c r="EI91" s="111"/>
      <c r="EJ91" s="111"/>
      <c r="EK91" s="147"/>
      <c r="EL91" s="111"/>
    </row>
    <row r="92" ht="17.25" customHeight="1">
      <c r="A92" s="148">
        <v>45999.0</v>
      </c>
      <c r="B92" s="111">
        <v>0.0</v>
      </c>
      <c r="C92" s="111"/>
      <c r="D92" s="111"/>
      <c r="E92" s="111">
        <v>100.0</v>
      </c>
      <c r="F92" s="111">
        <v>0.0</v>
      </c>
      <c r="G92" s="111">
        <v>0.0</v>
      </c>
      <c r="H92" s="111"/>
      <c r="I92" s="111"/>
      <c r="J92" s="111"/>
      <c r="K92" s="111">
        <v>80.0</v>
      </c>
      <c r="L92" s="111"/>
      <c r="M92" s="111">
        <v>0.0</v>
      </c>
      <c r="N92" s="111">
        <v>0.0</v>
      </c>
      <c r="O92" s="111">
        <v>0.0</v>
      </c>
      <c r="P92" s="111"/>
      <c r="Q92" s="111">
        <v>0.0</v>
      </c>
      <c r="R92" s="111">
        <v>0.0</v>
      </c>
      <c r="S92" s="111"/>
      <c r="T92" s="111">
        <v>0.0</v>
      </c>
      <c r="U92" s="111">
        <v>0.0</v>
      </c>
      <c r="V92" s="111"/>
      <c r="W92" s="111">
        <v>0.0</v>
      </c>
      <c r="X92" s="111">
        <v>0.0</v>
      </c>
      <c r="Y92" s="111"/>
      <c r="Z92" s="111">
        <v>0.0</v>
      </c>
      <c r="AA92" s="111">
        <v>0.0</v>
      </c>
      <c r="AB92" s="111"/>
      <c r="AC92" s="111">
        <v>0.0</v>
      </c>
      <c r="AD92" s="111">
        <v>0.0</v>
      </c>
      <c r="AE92" s="111"/>
      <c r="AF92" s="111">
        <v>0.0</v>
      </c>
      <c r="AG92" s="111">
        <v>0.0</v>
      </c>
      <c r="AH92" s="111"/>
      <c r="AI92" s="111"/>
      <c r="AJ92" s="111"/>
      <c r="AK92" s="111"/>
      <c r="AL92" s="111">
        <v>0.0</v>
      </c>
      <c r="AM92" s="111"/>
      <c r="AN92" s="111">
        <v>0.0</v>
      </c>
      <c r="AO92" s="111">
        <v>0.0</v>
      </c>
      <c r="AP92" s="111">
        <v>0.0</v>
      </c>
      <c r="AQ92" s="111">
        <v>0.0</v>
      </c>
      <c r="AR92" s="111">
        <v>0.0</v>
      </c>
      <c r="AS92" s="111"/>
      <c r="AT92" s="142"/>
      <c r="AU92" s="142"/>
      <c r="AV92" s="111">
        <v>12.0</v>
      </c>
      <c r="AW92" s="111"/>
      <c r="AX92" s="111"/>
      <c r="AY92" s="111"/>
      <c r="AZ92" s="111"/>
      <c r="BA92" s="111"/>
      <c r="BB92" s="111">
        <v>0.0</v>
      </c>
      <c r="BC92" s="111"/>
      <c r="BD92" s="111">
        <v>0.0</v>
      </c>
      <c r="BE92" s="111">
        <v>0.0</v>
      </c>
      <c r="BF92" s="111"/>
      <c r="BG92" s="111"/>
      <c r="BH92" s="111"/>
      <c r="BI92" s="111"/>
      <c r="BJ92" s="142"/>
      <c r="BK92" s="111"/>
      <c r="BL92" s="111">
        <v>4.0</v>
      </c>
      <c r="BM92" s="111"/>
      <c r="BN92" s="111"/>
      <c r="BO92" s="111"/>
      <c r="BP92" s="111"/>
      <c r="BQ92" s="111"/>
      <c r="BR92" s="111">
        <v>0.0</v>
      </c>
      <c r="BS92" s="111"/>
      <c r="BT92" s="111">
        <v>0.0</v>
      </c>
      <c r="BU92" s="111">
        <v>0.0</v>
      </c>
      <c r="BV92" s="111"/>
      <c r="BW92" s="111"/>
      <c r="BX92" s="111"/>
      <c r="BY92" s="111"/>
      <c r="BZ92" s="142"/>
      <c r="CA92" s="111"/>
      <c r="CB92" s="111">
        <v>4.0</v>
      </c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>
        <v>8349.0</v>
      </c>
      <c r="CS92" s="111">
        <v>0.0</v>
      </c>
      <c r="CT92" s="111">
        <f t="shared" si="14"/>
        <v>83.49</v>
      </c>
      <c r="CU92" s="111"/>
      <c r="CV92" s="111">
        <v>0.0</v>
      </c>
      <c r="CW92" s="111"/>
      <c r="CX92" s="111"/>
      <c r="CY92" s="111"/>
      <c r="CZ92" s="111">
        <v>3240.0</v>
      </c>
      <c r="DA92" s="18">
        <v>95.6</v>
      </c>
      <c r="DB92" s="18">
        <v>3.5</v>
      </c>
      <c r="DC92" s="111">
        <v>2.0</v>
      </c>
      <c r="DD92" s="145">
        <v>0.08</v>
      </c>
      <c r="DE92" s="145">
        <v>2.0</v>
      </c>
      <c r="DF92" s="111">
        <f t="shared" si="15"/>
        <v>38.80704276</v>
      </c>
      <c r="DG92" s="111"/>
      <c r="DH92" s="111"/>
      <c r="DI92" s="111"/>
      <c r="DJ92" s="111"/>
      <c r="DK92" s="111"/>
      <c r="DL92" s="111"/>
      <c r="DM92" s="111">
        <v>8.0</v>
      </c>
      <c r="DN92" s="149">
        <f t="shared" si="17"/>
        <v>225.8</v>
      </c>
      <c r="DO92" s="111">
        <v>0.0</v>
      </c>
      <c r="DP92" s="111"/>
      <c r="DQ92" s="111"/>
      <c r="DR92" s="111"/>
      <c r="DS92" s="111"/>
      <c r="DT92" s="111"/>
      <c r="DU92" s="111"/>
      <c r="DV92" s="111"/>
      <c r="DW92" s="111">
        <v>6915.0</v>
      </c>
      <c r="DX92" s="146">
        <f t="shared" si="16"/>
        <v>2.134259259</v>
      </c>
      <c r="DY92" s="111">
        <v>45.0</v>
      </c>
      <c r="DZ92" s="111"/>
      <c r="EA92" s="111"/>
      <c r="EB92" s="111"/>
      <c r="EC92" s="111"/>
      <c r="ED92" s="111">
        <v>22.1</v>
      </c>
      <c r="EE92" s="111"/>
      <c r="EF92" s="111"/>
      <c r="EG92" s="111"/>
      <c r="EH92" s="111"/>
      <c r="EI92" s="111"/>
      <c r="EJ92" s="111"/>
      <c r="EK92" s="147"/>
      <c r="EL92" s="111"/>
    </row>
    <row r="93" ht="17.25" customHeight="1">
      <c r="A93" s="148">
        <v>46000.0</v>
      </c>
      <c r="B93" s="111">
        <v>0.0</v>
      </c>
      <c r="C93" s="111"/>
      <c r="D93" s="111"/>
      <c r="E93" s="111">
        <v>90.0</v>
      </c>
      <c r="F93" s="111">
        <v>30.27</v>
      </c>
      <c r="G93" s="111">
        <v>64.48</v>
      </c>
      <c r="H93" s="111"/>
      <c r="I93" s="111"/>
      <c r="J93" s="111"/>
      <c r="K93" s="111">
        <v>74.0</v>
      </c>
      <c r="L93" s="111"/>
      <c r="M93" s="111">
        <v>12.87</v>
      </c>
      <c r="N93" s="111">
        <v>66.12</v>
      </c>
      <c r="O93" s="111">
        <v>5.84</v>
      </c>
      <c r="P93" s="111"/>
      <c r="Q93" s="111">
        <v>12.87</v>
      </c>
      <c r="R93" s="111">
        <v>66.12</v>
      </c>
      <c r="S93" s="111"/>
      <c r="T93" s="111">
        <v>9.77</v>
      </c>
      <c r="U93" s="111">
        <v>57.72</v>
      </c>
      <c r="V93" s="111"/>
      <c r="W93" s="111">
        <v>12.87</v>
      </c>
      <c r="X93" s="111">
        <v>66.12</v>
      </c>
      <c r="Y93" s="111"/>
      <c r="Z93" s="111">
        <v>9.61</v>
      </c>
      <c r="AA93" s="111">
        <v>55.87</v>
      </c>
      <c r="AB93" s="111"/>
      <c r="AC93" s="111">
        <v>12.87</v>
      </c>
      <c r="AD93" s="111">
        <v>66.12</v>
      </c>
      <c r="AE93" s="111"/>
      <c r="AF93" s="111">
        <v>9.15</v>
      </c>
      <c r="AG93" s="111">
        <v>52.89</v>
      </c>
      <c r="AH93" s="111"/>
      <c r="AI93" s="111"/>
      <c r="AJ93" s="111"/>
      <c r="AK93" s="111"/>
      <c r="AL93" s="111">
        <v>5.64</v>
      </c>
      <c r="AM93" s="111">
        <v>100.92</v>
      </c>
      <c r="AN93" s="111">
        <v>7.04</v>
      </c>
      <c r="AO93" s="111">
        <v>34.0</v>
      </c>
      <c r="AP93" s="111">
        <v>0.0</v>
      </c>
      <c r="AQ93" s="111">
        <v>0.0</v>
      </c>
      <c r="AR93" s="111">
        <v>0.0</v>
      </c>
      <c r="AS93" s="111"/>
      <c r="AT93" s="142"/>
      <c r="AU93" s="142"/>
      <c r="AV93" s="111">
        <v>12.0</v>
      </c>
      <c r="AW93" s="111"/>
      <c r="AX93" s="111"/>
      <c r="AY93" s="111"/>
      <c r="AZ93" s="111"/>
      <c r="BA93" s="111"/>
      <c r="BB93" s="111">
        <v>5.37</v>
      </c>
      <c r="BC93" s="111">
        <v>96.5</v>
      </c>
      <c r="BD93" s="111">
        <v>7.03</v>
      </c>
      <c r="BE93" s="111">
        <v>32.5</v>
      </c>
      <c r="BF93" s="111"/>
      <c r="BG93" s="111"/>
      <c r="BH93" s="111"/>
      <c r="BI93" s="111"/>
      <c r="BJ93" s="142"/>
      <c r="BK93" s="111"/>
      <c r="BL93" s="111">
        <v>4.0</v>
      </c>
      <c r="BM93" s="111"/>
      <c r="BN93" s="111"/>
      <c r="BO93" s="111"/>
      <c r="BP93" s="111"/>
      <c r="BQ93" s="111"/>
      <c r="BR93" s="111">
        <v>4.84</v>
      </c>
      <c r="BS93" s="111">
        <v>106.3</v>
      </c>
      <c r="BT93" s="111">
        <v>7.07</v>
      </c>
      <c r="BU93" s="111">
        <v>30.5</v>
      </c>
      <c r="BV93" s="111"/>
      <c r="BW93" s="111"/>
      <c r="BX93" s="111"/>
      <c r="BY93" s="111"/>
      <c r="BZ93" s="142"/>
      <c r="CA93" s="111"/>
      <c r="CB93" s="111">
        <v>4.0</v>
      </c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>
        <v>5472.0</v>
      </c>
      <c r="CS93" s="111">
        <v>0.0</v>
      </c>
      <c r="CT93" s="111">
        <f t="shared" si="14"/>
        <v>60.8</v>
      </c>
      <c r="CU93" s="111"/>
      <c r="CV93" s="111">
        <v>40.0</v>
      </c>
      <c r="CW93" s="111"/>
      <c r="CX93" s="111"/>
      <c r="CY93" s="111"/>
      <c r="CZ93" s="111">
        <v>2187.0</v>
      </c>
      <c r="DA93" s="111">
        <v>96.4</v>
      </c>
      <c r="DB93" s="111">
        <v>2.1</v>
      </c>
      <c r="DC93" s="111">
        <v>2.0</v>
      </c>
      <c r="DD93" s="111">
        <v>0.08</v>
      </c>
      <c r="DE93" s="111">
        <v>2.0</v>
      </c>
      <c r="DF93" s="111">
        <f t="shared" si="15"/>
        <v>39.96710526</v>
      </c>
      <c r="DG93" s="111"/>
      <c r="DH93" s="111"/>
      <c r="DI93" s="111"/>
      <c r="DJ93" s="111"/>
      <c r="DK93" s="111"/>
      <c r="DL93" s="111"/>
      <c r="DM93" s="111">
        <v>0.0</v>
      </c>
      <c r="DN93" s="149">
        <f t="shared" si="17"/>
        <v>225.8</v>
      </c>
      <c r="DO93" s="111">
        <v>50.0</v>
      </c>
      <c r="DP93" s="111"/>
      <c r="DQ93" s="111"/>
      <c r="DR93" s="111"/>
      <c r="DS93" s="111"/>
      <c r="DT93" s="111"/>
      <c r="DU93" s="111"/>
      <c r="DV93" s="111"/>
      <c r="DW93" s="111">
        <v>4490.0</v>
      </c>
      <c r="DX93" s="146">
        <f t="shared" si="16"/>
        <v>2.053040695</v>
      </c>
      <c r="DY93" s="111">
        <v>45.0</v>
      </c>
      <c r="DZ93" s="111"/>
      <c r="EA93" s="111"/>
      <c r="EB93" s="111"/>
      <c r="EC93" s="111"/>
      <c r="ED93" s="111">
        <v>14.15</v>
      </c>
      <c r="EE93" s="111"/>
      <c r="EF93" s="111"/>
      <c r="EG93" s="111"/>
      <c r="EH93" s="111"/>
      <c r="EI93" s="111"/>
      <c r="EJ93" s="111"/>
      <c r="EK93" s="147"/>
      <c r="EL93" s="111"/>
    </row>
    <row r="94" ht="17.25" customHeight="1">
      <c r="A94" s="148">
        <v>46001.0</v>
      </c>
      <c r="B94" s="111">
        <v>0.0</v>
      </c>
      <c r="C94" s="111"/>
      <c r="D94" s="111"/>
      <c r="E94" s="111">
        <v>100.0</v>
      </c>
      <c r="F94" s="111">
        <v>28.67</v>
      </c>
      <c r="G94" s="111">
        <v>67.98</v>
      </c>
      <c r="H94" s="111"/>
      <c r="I94" s="111"/>
      <c r="J94" s="111"/>
      <c r="K94" s="111">
        <v>84.0</v>
      </c>
      <c r="L94" s="111"/>
      <c r="M94" s="111">
        <v>11.38</v>
      </c>
      <c r="N94" s="111">
        <v>67.75</v>
      </c>
      <c r="O94" s="111">
        <v>5.89</v>
      </c>
      <c r="P94" s="111"/>
      <c r="Q94" s="111">
        <v>11.38</v>
      </c>
      <c r="R94" s="111">
        <v>67.75</v>
      </c>
      <c r="S94" s="111"/>
      <c r="T94" s="111">
        <v>9.9</v>
      </c>
      <c r="U94" s="111">
        <v>58.88</v>
      </c>
      <c r="V94" s="111"/>
      <c r="W94" s="111">
        <v>11.38</v>
      </c>
      <c r="X94" s="111">
        <v>67.75</v>
      </c>
      <c r="Y94" s="111"/>
      <c r="Z94" s="111">
        <v>9.72</v>
      </c>
      <c r="AA94" s="111">
        <v>55.34</v>
      </c>
      <c r="AB94" s="111"/>
      <c r="AC94" s="111">
        <v>11.38</v>
      </c>
      <c r="AD94" s="111">
        <v>67.75</v>
      </c>
      <c r="AE94" s="111"/>
      <c r="AF94" s="111">
        <v>9.14</v>
      </c>
      <c r="AG94" s="111">
        <v>53.5</v>
      </c>
      <c r="AH94" s="111"/>
      <c r="AI94" s="111"/>
      <c r="AJ94" s="111"/>
      <c r="AK94" s="111"/>
      <c r="AL94" s="111">
        <v>5.83</v>
      </c>
      <c r="AM94" s="111">
        <v>100.65</v>
      </c>
      <c r="AN94" s="111">
        <v>7.06</v>
      </c>
      <c r="AO94" s="111">
        <v>34.0</v>
      </c>
      <c r="AP94" s="111">
        <v>0.0</v>
      </c>
      <c r="AQ94" s="111">
        <v>0.0</v>
      </c>
      <c r="AR94" s="111">
        <v>0.0</v>
      </c>
      <c r="AS94" s="111"/>
      <c r="AT94" s="142"/>
      <c r="AU94" s="142"/>
      <c r="AV94" s="111">
        <v>12.0</v>
      </c>
      <c r="AW94" s="111"/>
      <c r="AX94" s="111"/>
      <c r="AY94" s="111"/>
      <c r="AZ94" s="111"/>
      <c r="BA94" s="111"/>
      <c r="BB94" s="111">
        <v>5.38</v>
      </c>
      <c r="BC94" s="111">
        <v>99.05</v>
      </c>
      <c r="BD94" s="111">
        <v>7.04</v>
      </c>
      <c r="BE94" s="111">
        <v>32.0</v>
      </c>
      <c r="BF94" s="111"/>
      <c r="BG94" s="111"/>
      <c r="BH94" s="111"/>
      <c r="BI94" s="111"/>
      <c r="BJ94" s="142"/>
      <c r="BK94" s="111"/>
      <c r="BL94" s="111">
        <v>4.0</v>
      </c>
      <c r="BM94" s="111"/>
      <c r="BN94" s="111"/>
      <c r="BO94" s="111"/>
      <c r="BP94" s="111"/>
      <c r="BQ94" s="111"/>
      <c r="BR94" s="111">
        <v>4.89</v>
      </c>
      <c r="BS94" s="111">
        <v>98.26</v>
      </c>
      <c r="BT94" s="111">
        <v>7.05</v>
      </c>
      <c r="BU94" s="111">
        <v>31.5</v>
      </c>
      <c r="BV94" s="111"/>
      <c r="BW94" s="111"/>
      <c r="BX94" s="111"/>
      <c r="BY94" s="111"/>
      <c r="BZ94" s="142"/>
      <c r="CA94" s="111"/>
      <c r="CB94" s="111">
        <v>4.0</v>
      </c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>
        <v>7475.0</v>
      </c>
      <c r="CS94" s="111">
        <v>0.0</v>
      </c>
      <c r="CT94" s="111">
        <f t="shared" si="14"/>
        <v>74.75</v>
      </c>
      <c r="CU94" s="111"/>
      <c r="CV94" s="111">
        <v>42.0</v>
      </c>
      <c r="CW94" s="111"/>
      <c r="CX94" s="111"/>
      <c r="CY94" s="111"/>
      <c r="CZ94" s="111">
        <v>2766.0</v>
      </c>
      <c r="DA94" s="111">
        <v>96.4</v>
      </c>
      <c r="DB94" s="111">
        <v>2.1</v>
      </c>
      <c r="DC94" s="111">
        <v>2.0</v>
      </c>
      <c r="DD94" s="111">
        <v>0.08</v>
      </c>
      <c r="DE94" s="111">
        <v>2.0</v>
      </c>
      <c r="DF94" s="111">
        <f t="shared" si="15"/>
        <v>37.00334448</v>
      </c>
      <c r="DG94" s="111"/>
      <c r="DH94" s="111"/>
      <c r="DI94" s="111"/>
      <c r="DJ94" s="111"/>
      <c r="DK94" s="111"/>
      <c r="DL94" s="111"/>
      <c r="DM94" s="111">
        <v>8.0</v>
      </c>
      <c r="DN94" s="149">
        <f t="shared" si="17"/>
        <v>183.8</v>
      </c>
      <c r="DO94" s="111">
        <v>0.0</v>
      </c>
      <c r="DP94" s="111"/>
      <c r="DQ94" s="111"/>
      <c r="DR94" s="111"/>
      <c r="DS94" s="111"/>
      <c r="DT94" s="111"/>
      <c r="DU94" s="111"/>
      <c r="DV94" s="111"/>
      <c r="DW94" s="111">
        <v>5475.0</v>
      </c>
      <c r="DX94" s="146">
        <f t="shared" si="16"/>
        <v>1.979392625</v>
      </c>
      <c r="DY94" s="111">
        <v>45.0</v>
      </c>
      <c r="DZ94" s="111"/>
      <c r="EA94" s="111"/>
      <c r="EB94" s="111"/>
      <c r="EC94" s="111"/>
      <c r="ED94" s="111">
        <v>20.05</v>
      </c>
      <c r="EE94" s="111"/>
      <c r="EF94" s="111"/>
      <c r="EG94" s="111"/>
      <c r="EH94" s="111"/>
      <c r="EI94" s="111"/>
      <c r="EJ94" s="111"/>
      <c r="EK94" s="147"/>
      <c r="EL94" s="111"/>
    </row>
    <row r="95" ht="17.25" customHeight="1">
      <c r="A95" s="148">
        <v>46002.0</v>
      </c>
      <c r="B95" s="111">
        <v>0.0</v>
      </c>
      <c r="C95" s="111"/>
      <c r="D95" s="111"/>
      <c r="E95" s="111">
        <v>100.0</v>
      </c>
      <c r="F95" s="111">
        <v>30.05</v>
      </c>
      <c r="G95" s="111">
        <v>67.15</v>
      </c>
      <c r="H95" s="111"/>
      <c r="I95" s="111"/>
      <c r="J95" s="111"/>
      <c r="K95" s="111">
        <v>80.0</v>
      </c>
      <c r="L95" s="111"/>
      <c r="M95" s="111">
        <v>12.0</v>
      </c>
      <c r="N95" s="111">
        <v>67.83</v>
      </c>
      <c r="O95" s="111">
        <v>6.22</v>
      </c>
      <c r="P95" s="111"/>
      <c r="Q95" s="111">
        <v>12.0</v>
      </c>
      <c r="R95" s="111">
        <v>67.83</v>
      </c>
      <c r="S95" s="111"/>
      <c r="T95" s="111">
        <v>9.66</v>
      </c>
      <c r="U95" s="111">
        <v>56.93</v>
      </c>
      <c r="V95" s="111"/>
      <c r="W95" s="111">
        <v>12.0</v>
      </c>
      <c r="X95" s="111">
        <v>67.83</v>
      </c>
      <c r="Y95" s="111"/>
      <c r="Z95" s="111">
        <v>10.0</v>
      </c>
      <c r="AA95" s="111">
        <v>55.6</v>
      </c>
      <c r="AB95" s="111"/>
      <c r="AC95" s="111">
        <v>12.0</v>
      </c>
      <c r="AD95" s="111">
        <v>67.83</v>
      </c>
      <c r="AE95" s="111"/>
      <c r="AF95" s="111">
        <v>9.09</v>
      </c>
      <c r="AG95" s="111">
        <v>53.13</v>
      </c>
      <c r="AH95" s="111"/>
      <c r="AI95" s="111"/>
      <c r="AJ95" s="111"/>
      <c r="AK95" s="111"/>
      <c r="AL95" s="111">
        <v>5.5</v>
      </c>
      <c r="AM95" s="111"/>
      <c r="AN95" s="111">
        <v>7.04</v>
      </c>
      <c r="AO95" s="111">
        <v>34.0</v>
      </c>
      <c r="AP95" s="111">
        <v>0.0</v>
      </c>
      <c r="AQ95" s="111">
        <v>0.0</v>
      </c>
      <c r="AR95" s="111">
        <v>0.0</v>
      </c>
      <c r="AS95" s="111"/>
      <c r="AT95" s="142"/>
      <c r="AU95" s="142"/>
      <c r="AV95" s="111">
        <v>12.0</v>
      </c>
      <c r="AW95" s="111"/>
      <c r="AX95" s="111"/>
      <c r="AY95" s="111"/>
      <c r="AZ95" s="111"/>
      <c r="BA95" s="111"/>
      <c r="BB95" s="111">
        <v>5.56</v>
      </c>
      <c r="BC95" s="111"/>
      <c r="BD95" s="111">
        <v>7.03</v>
      </c>
      <c r="BE95" s="111">
        <v>33.0</v>
      </c>
      <c r="BF95" s="111"/>
      <c r="BG95" s="111"/>
      <c r="BH95" s="111"/>
      <c r="BI95" s="111"/>
      <c r="BJ95" s="142"/>
      <c r="BK95" s="111"/>
      <c r="BL95" s="111">
        <v>4.0</v>
      </c>
      <c r="BM95" s="111"/>
      <c r="BN95" s="111"/>
      <c r="BO95" s="111"/>
      <c r="BP95" s="111"/>
      <c r="BQ95" s="111"/>
      <c r="BR95" s="111">
        <v>4.83</v>
      </c>
      <c r="BS95" s="111"/>
      <c r="BT95" s="111">
        <v>7.07</v>
      </c>
      <c r="BU95" s="111">
        <v>32.0</v>
      </c>
      <c r="BV95" s="111"/>
      <c r="BW95" s="111"/>
      <c r="BX95" s="111"/>
      <c r="BY95" s="111"/>
      <c r="BZ95" s="142"/>
      <c r="CA95" s="111"/>
      <c r="CB95" s="111">
        <v>4.0</v>
      </c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>
        <v>7935.0</v>
      </c>
      <c r="CS95" s="111">
        <v>0.0</v>
      </c>
      <c r="CT95" s="111">
        <f t="shared" si="14"/>
        <v>79.35</v>
      </c>
      <c r="CU95" s="111"/>
      <c r="CV95" s="111">
        <v>44.0</v>
      </c>
      <c r="CW95" s="111"/>
      <c r="CX95" s="111"/>
      <c r="CY95" s="111"/>
      <c r="CZ95" s="111">
        <v>3008.0</v>
      </c>
      <c r="DA95" s="18">
        <v>95.6</v>
      </c>
      <c r="DB95" s="18">
        <v>3.5</v>
      </c>
      <c r="DC95" s="111">
        <v>2.0</v>
      </c>
      <c r="DD95" s="18">
        <v>0.08</v>
      </c>
      <c r="DE95" s="145">
        <v>2.0</v>
      </c>
      <c r="DF95" s="111">
        <f t="shared" si="15"/>
        <v>37.90800252</v>
      </c>
      <c r="DG95" s="111"/>
      <c r="DH95" s="111"/>
      <c r="DI95" s="111"/>
      <c r="DJ95" s="111"/>
      <c r="DK95" s="111"/>
      <c r="DL95" s="111"/>
      <c r="DM95" s="111">
        <v>6.0</v>
      </c>
      <c r="DN95" s="149">
        <f t="shared" si="17"/>
        <v>189.8</v>
      </c>
      <c r="DO95" s="111">
        <v>0.0</v>
      </c>
      <c r="DP95" s="111"/>
      <c r="DQ95" s="111"/>
      <c r="DR95" s="111"/>
      <c r="DS95" s="111"/>
      <c r="DT95" s="111"/>
      <c r="DU95" s="111"/>
      <c r="DV95" s="111"/>
      <c r="DW95" s="111">
        <v>5955.0</v>
      </c>
      <c r="DX95" s="146">
        <f t="shared" si="16"/>
        <v>1.979720745</v>
      </c>
      <c r="DY95" s="111">
        <v>45.0</v>
      </c>
      <c r="DZ95" s="111"/>
      <c r="EA95" s="111"/>
      <c r="EB95" s="111"/>
      <c r="EC95" s="111"/>
      <c r="ED95" s="111">
        <v>21.1</v>
      </c>
      <c r="EE95" s="111"/>
      <c r="EF95" s="111"/>
      <c r="EG95" s="111"/>
      <c r="EH95" s="111"/>
      <c r="EI95" s="111"/>
      <c r="EJ95" s="111"/>
      <c r="EK95" s="147"/>
      <c r="EL95" s="111"/>
    </row>
    <row r="96" ht="17.25" customHeight="1">
      <c r="A96" s="148">
        <v>46003.0</v>
      </c>
      <c r="B96" s="111">
        <v>0.0</v>
      </c>
      <c r="C96" s="111"/>
      <c r="D96" s="111"/>
      <c r="E96" s="111">
        <v>100.0</v>
      </c>
      <c r="F96" s="111">
        <v>29.84</v>
      </c>
      <c r="G96" s="111">
        <v>67.35</v>
      </c>
      <c r="H96" s="111"/>
      <c r="I96" s="111"/>
      <c r="J96" s="111"/>
      <c r="K96" s="111">
        <v>82.0</v>
      </c>
      <c r="L96" s="111"/>
      <c r="M96" s="111">
        <v>11.3</v>
      </c>
      <c r="N96" s="111">
        <v>67.52</v>
      </c>
      <c r="O96" s="111">
        <v>6.15</v>
      </c>
      <c r="P96" s="111"/>
      <c r="Q96" s="111">
        <v>11.3</v>
      </c>
      <c r="R96" s="111">
        <v>67.52</v>
      </c>
      <c r="S96" s="111"/>
      <c r="T96" s="111">
        <v>9.72</v>
      </c>
      <c r="U96" s="111">
        <v>57.2</v>
      </c>
      <c r="V96" s="111"/>
      <c r="W96" s="111">
        <v>11.3</v>
      </c>
      <c r="X96" s="111">
        <v>67.52</v>
      </c>
      <c r="Y96" s="111"/>
      <c r="Z96" s="111">
        <v>10.0</v>
      </c>
      <c r="AA96" s="111">
        <v>54.2</v>
      </c>
      <c r="AB96" s="111"/>
      <c r="AC96" s="111">
        <v>11.3</v>
      </c>
      <c r="AD96" s="111">
        <v>67.52</v>
      </c>
      <c r="AE96" s="111"/>
      <c r="AF96" s="111">
        <v>9.16</v>
      </c>
      <c r="AG96" s="111">
        <v>52.51</v>
      </c>
      <c r="AH96" s="111"/>
      <c r="AI96" s="111"/>
      <c r="AJ96" s="111"/>
      <c r="AK96" s="111"/>
      <c r="AL96" s="111">
        <v>5.56</v>
      </c>
      <c r="AM96" s="111"/>
      <c r="AN96" s="111">
        <v>7.01</v>
      </c>
      <c r="AO96" s="111">
        <v>34.0</v>
      </c>
      <c r="AP96" s="111">
        <v>0.0</v>
      </c>
      <c r="AQ96" s="111">
        <v>0.0</v>
      </c>
      <c r="AR96" s="111">
        <v>0.0</v>
      </c>
      <c r="AS96" s="111"/>
      <c r="AT96" s="142"/>
      <c r="AU96" s="142"/>
      <c r="AV96" s="111">
        <v>12.0</v>
      </c>
      <c r="AW96" s="111"/>
      <c r="AX96" s="111"/>
      <c r="AY96" s="111"/>
      <c r="AZ96" s="111"/>
      <c r="BA96" s="111"/>
      <c r="BB96" s="111">
        <v>5.42</v>
      </c>
      <c r="BC96" s="111"/>
      <c r="BD96" s="111">
        <v>7.02</v>
      </c>
      <c r="BE96" s="111">
        <v>32.5</v>
      </c>
      <c r="BF96" s="111"/>
      <c r="BG96" s="111"/>
      <c r="BH96" s="111"/>
      <c r="BI96" s="111"/>
      <c r="BJ96" s="142"/>
      <c r="BK96" s="111"/>
      <c r="BL96" s="111">
        <v>4.0</v>
      </c>
      <c r="BM96" s="111"/>
      <c r="BN96" s="111"/>
      <c r="BO96" s="111"/>
      <c r="BP96" s="111"/>
      <c r="BQ96" s="111"/>
      <c r="BR96" s="111">
        <v>4.81</v>
      </c>
      <c r="BS96" s="111"/>
      <c r="BT96" s="111">
        <v>7.05</v>
      </c>
      <c r="BU96" s="111">
        <v>31.5</v>
      </c>
      <c r="BV96" s="111"/>
      <c r="BW96" s="111"/>
      <c r="BX96" s="111"/>
      <c r="BY96" s="111"/>
      <c r="BZ96" s="142"/>
      <c r="CA96" s="111"/>
      <c r="CB96" s="111">
        <v>4.0</v>
      </c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>
        <v>7405.0</v>
      </c>
      <c r="CS96" s="111">
        <v>0.0</v>
      </c>
      <c r="CT96" s="111">
        <f t="shared" si="14"/>
        <v>74.05</v>
      </c>
      <c r="CU96" s="111"/>
      <c r="CV96" s="111">
        <v>43.0</v>
      </c>
      <c r="CW96" s="111"/>
      <c r="CX96" s="111"/>
      <c r="CY96" s="111"/>
      <c r="CZ96" s="111">
        <v>2754.0</v>
      </c>
      <c r="DA96" s="111">
        <v>95.744</v>
      </c>
      <c r="DB96" s="111">
        <v>3.106</v>
      </c>
      <c r="DC96" s="111">
        <v>3.0</v>
      </c>
      <c r="DD96" s="111">
        <v>0.1</v>
      </c>
      <c r="DE96" s="111">
        <v>1.0</v>
      </c>
      <c r="DF96" s="111">
        <f t="shared" si="15"/>
        <v>37.1910871</v>
      </c>
      <c r="DG96" s="111"/>
      <c r="DH96" s="111"/>
      <c r="DI96" s="111"/>
      <c r="DJ96" s="111"/>
      <c r="DK96" s="111"/>
      <c r="DL96" s="111"/>
      <c r="DM96" s="111">
        <v>3.6</v>
      </c>
      <c r="DN96" s="149">
        <f t="shared" si="17"/>
        <v>193.4</v>
      </c>
      <c r="DO96" s="111">
        <v>0.0</v>
      </c>
      <c r="DP96" s="111"/>
      <c r="DQ96" s="111"/>
      <c r="DR96" s="111"/>
      <c r="DS96" s="111"/>
      <c r="DT96" s="111"/>
      <c r="DU96" s="111"/>
      <c r="DV96" s="111"/>
      <c r="DW96" s="111">
        <v>5055.0</v>
      </c>
      <c r="DX96" s="146">
        <f t="shared" si="16"/>
        <v>1.835511983</v>
      </c>
      <c r="DY96" s="111">
        <v>45.0</v>
      </c>
      <c r="DZ96" s="111"/>
      <c r="EA96" s="111"/>
      <c r="EB96" s="111"/>
      <c r="EC96" s="111"/>
      <c r="ED96" s="111">
        <v>19.15</v>
      </c>
      <c r="EE96" s="111"/>
      <c r="EF96" s="111"/>
      <c r="EG96" s="111"/>
      <c r="EH96" s="111"/>
      <c r="EI96" s="111"/>
      <c r="EJ96" s="111"/>
      <c r="EK96" s="147"/>
      <c r="EL96" s="111"/>
    </row>
    <row r="97" ht="17.25" customHeight="1">
      <c r="A97" s="148">
        <v>46004.0</v>
      </c>
      <c r="B97" s="111">
        <v>0.0</v>
      </c>
      <c r="C97" s="111"/>
      <c r="D97" s="111"/>
      <c r="E97" s="111">
        <v>100.0</v>
      </c>
      <c r="F97" s="111">
        <v>29.13</v>
      </c>
      <c r="G97" s="111">
        <v>69.06</v>
      </c>
      <c r="H97" s="111"/>
      <c r="I97" s="111"/>
      <c r="J97" s="111"/>
      <c r="K97" s="111">
        <v>77.0</v>
      </c>
      <c r="L97" s="111"/>
      <c r="M97" s="111">
        <v>11.68</v>
      </c>
      <c r="N97" s="111">
        <v>68.83</v>
      </c>
      <c r="O97" s="111">
        <v>6.23</v>
      </c>
      <c r="P97" s="111"/>
      <c r="Q97" s="111">
        <v>11.68</v>
      </c>
      <c r="R97" s="111">
        <v>68.83</v>
      </c>
      <c r="S97" s="111"/>
      <c r="T97" s="111">
        <v>9.77</v>
      </c>
      <c r="U97" s="111">
        <v>57.83</v>
      </c>
      <c r="V97" s="111"/>
      <c r="W97" s="111">
        <v>11.68</v>
      </c>
      <c r="X97" s="111">
        <v>68.83</v>
      </c>
      <c r="Y97" s="111"/>
      <c r="Z97" s="111">
        <v>9.95</v>
      </c>
      <c r="AA97" s="111">
        <v>54.17</v>
      </c>
      <c r="AB97" s="111"/>
      <c r="AC97" s="111">
        <v>11.68</v>
      </c>
      <c r="AD97" s="111">
        <v>68.83</v>
      </c>
      <c r="AE97" s="111"/>
      <c r="AF97" s="111">
        <v>9.14</v>
      </c>
      <c r="AG97" s="111">
        <v>53.39</v>
      </c>
      <c r="AH97" s="111"/>
      <c r="AI97" s="111"/>
      <c r="AJ97" s="111"/>
      <c r="AK97" s="111"/>
      <c r="AL97" s="111">
        <v>5.65</v>
      </c>
      <c r="AM97" s="111"/>
      <c r="AN97" s="111">
        <v>7.09</v>
      </c>
      <c r="AO97" s="111">
        <v>33.0</v>
      </c>
      <c r="AP97" s="111">
        <v>0.0</v>
      </c>
      <c r="AQ97" s="111">
        <v>0.0</v>
      </c>
      <c r="AR97" s="111">
        <v>0.0</v>
      </c>
      <c r="AS97" s="111"/>
      <c r="AT97" s="142"/>
      <c r="AU97" s="142"/>
      <c r="AV97" s="111">
        <v>12.0</v>
      </c>
      <c r="AW97" s="111"/>
      <c r="AX97" s="111"/>
      <c r="AY97" s="111"/>
      <c r="AZ97" s="111"/>
      <c r="BA97" s="111"/>
      <c r="BB97" s="111">
        <v>5.39</v>
      </c>
      <c r="BC97" s="111"/>
      <c r="BD97" s="111">
        <v>7.07</v>
      </c>
      <c r="BE97" s="111">
        <v>32.5</v>
      </c>
      <c r="BF97" s="111"/>
      <c r="BG97" s="111"/>
      <c r="BH97" s="111"/>
      <c r="BI97" s="111"/>
      <c r="BJ97" s="142"/>
      <c r="BK97" s="111"/>
      <c r="BL97" s="111">
        <v>4.0</v>
      </c>
      <c r="BM97" s="111"/>
      <c r="BN97" s="111"/>
      <c r="BO97" s="111"/>
      <c r="BP97" s="111"/>
      <c r="BQ97" s="111"/>
      <c r="BR97" s="111">
        <v>4.88</v>
      </c>
      <c r="BS97" s="111"/>
      <c r="BT97" s="111">
        <v>7.06</v>
      </c>
      <c r="BU97" s="111">
        <v>32.0</v>
      </c>
      <c r="BV97" s="111"/>
      <c r="BW97" s="111"/>
      <c r="BX97" s="111"/>
      <c r="BY97" s="111"/>
      <c r="BZ97" s="142"/>
      <c r="CA97" s="111"/>
      <c r="CB97" s="111">
        <v>4.0</v>
      </c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>
        <v>7693.0</v>
      </c>
      <c r="CS97" s="111">
        <v>0.0</v>
      </c>
      <c r="CT97" s="111">
        <f t="shared" si="14"/>
        <v>76.93</v>
      </c>
      <c r="CU97" s="111"/>
      <c r="CV97" s="111">
        <v>40.0</v>
      </c>
      <c r="CW97" s="111"/>
      <c r="CX97" s="111"/>
      <c r="CY97" s="111"/>
      <c r="CZ97" s="111">
        <v>2903.0</v>
      </c>
      <c r="DA97" s="111">
        <v>95.449</v>
      </c>
      <c r="DB97" s="111">
        <v>3.255</v>
      </c>
      <c r="DC97" s="111">
        <v>2.0</v>
      </c>
      <c r="DD97" s="111">
        <v>0.1</v>
      </c>
      <c r="DE97" s="111">
        <v>1.1</v>
      </c>
      <c r="DF97" s="111">
        <f t="shared" si="15"/>
        <v>37.7356038</v>
      </c>
      <c r="DG97" s="111"/>
      <c r="DH97" s="111"/>
      <c r="DI97" s="111"/>
      <c r="DJ97" s="111"/>
      <c r="DK97" s="111"/>
      <c r="DL97" s="111"/>
      <c r="DM97" s="111">
        <v>0.0</v>
      </c>
      <c r="DN97" s="149">
        <f t="shared" si="17"/>
        <v>193.4</v>
      </c>
      <c r="DO97" s="111">
        <v>12.0</v>
      </c>
      <c r="DP97" s="111"/>
      <c r="DQ97" s="111"/>
      <c r="DR97" s="111"/>
      <c r="DS97" s="111"/>
      <c r="DT97" s="111"/>
      <c r="DU97" s="111"/>
      <c r="DV97" s="111"/>
      <c r="DW97" s="111">
        <v>5475.0</v>
      </c>
      <c r="DX97" s="146">
        <f t="shared" si="16"/>
        <v>1.885980021</v>
      </c>
      <c r="DY97" s="111">
        <v>45.0</v>
      </c>
      <c r="DZ97" s="111"/>
      <c r="EA97" s="111"/>
      <c r="EB97" s="111"/>
      <c r="EC97" s="111"/>
      <c r="ED97" s="111">
        <v>20.3</v>
      </c>
      <c r="EE97" s="111"/>
      <c r="EF97" s="111"/>
      <c r="EG97" s="111"/>
      <c r="EH97" s="111"/>
      <c r="EI97" s="111"/>
      <c r="EJ97" s="111"/>
      <c r="EK97" s="147"/>
      <c r="EL97" s="111"/>
    </row>
    <row r="98" ht="17.25" customHeight="1">
      <c r="A98" s="148">
        <v>46005.0</v>
      </c>
      <c r="B98" s="111">
        <v>0.0</v>
      </c>
      <c r="C98" s="111"/>
      <c r="D98" s="111"/>
      <c r="E98" s="111">
        <v>100.0</v>
      </c>
      <c r="F98" s="111">
        <v>0.0</v>
      </c>
      <c r="G98" s="111">
        <v>0.0</v>
      </c>
      <c r="H98" s="111"/>
      <c r="I98" s="111"/>
      <c r="J98" s="111"/>
      <c r="K98" s="111">
        <v>80.0</v>
      </c>
      <c r="L98" s="111"/>
      <c r="M98" s="111">
        <v>0.0</v>
      </c>
      <c r="N98" s="111">
        <v>0.0</v>
      </c>
      <c r="O98" s="111">
        <v>0.0</v>
      </c>
      <c r="P98" s="111"/>
      <c r="Q98" s="111">
        <v>0.0</v>
      </c>
      <c r="R98" s="111">
        <v>0.0</v>
      </c>
      <c r="S98" s="111"/>
      <c r="T98" s="111">
        <v>0.0</v>
      </c>
      <c r="U98" s="111">
        <v>0.0</v>
      </c>
      <c r="V98" s="111"/>
      <c r="W98" s="111">
        <v>0.0</v>
      </c>
      <c r="X98" s="111">
        <v>0.0</v>
      </c>
      <c r="Y98" s="111"/>
      <c r="Z98" s="111">
        <v>0.0</v>
      </c>
      <c r="AA98" s="111">
        <v>0.0</v>
      </c>
      <c r="AB98" s="111"/>
      <c r="AC98" s="111">
        <v>0.0</v>
      </c>
      <c r="AD98" s="111">
        <v>0.0</v>
      </c>
      <c r="AE98" s="111"/>
      <c r="AF98" s="111">
        <v>0.0</v>
      </c>
      <c r="AG98" s="111">
        <v>0.0</v>
      </c>
      <c r="AH98" s="111"/>
      <c r="AI98" s="111"/>
      <c r="AJ98" s="111"/>
      <c r="AK98" s="111"/>
      <c r="AL98" s="111">
        <v>0.0</v>
      </c>
      <c r="AM98" s="111"/>
      <c r="AN98" s="111">
        <v>0.0</v>
      </c>
      <c r="AO98" s="111">
        <v>0.0</v>
      </c>
      <c r="AP98" s="111">
        <v>0.0</v>
      </c>
      <c r="AQ98" s="111">
        <v>0.0</v>
      </c>
      <c r="AR98" s="111">
        <v>0.0</v>
      </c>
      <c r="AS98" s="111"/>
      <c r="AT98" s="142"/>
      <c r="AU98" s="142"/>
      <c r="AV98" s="111">
        <v>12.0</v>
      </c>
      <c r="AW98" s="111"/>
      <c r="AX98" s="111"/>
      <c r="AY98" s="111"/>
      <c r="AZ98" s="111"/>
      <c r="BA98" s="111"/>
      <c r="BB98" s="111">
        <v>0.0</v>
      </c>
      <c r="BC98" s="111"/>
      <c r="BD98" s="111">
        <v>0.0</v>
      </c>
      <c r="BE98" s="111">
        <v>0.0</v>
      </c>
      <c r="BF98" s="111"/>
      <c r="BG98" s="111"/>
      <c r="BH98" s="111"/>
      <c r="BI98" s="111"/>
      <c r="BJ98" s="142"/>
      <c r="BK98" s="111"/>
      <c r="BL98" s="111">
        <v>4.0</v>
      </c>
      <c r="BM98" s="111"/>
      <c r="BN98" s="111"/>
      <c r="BO98" s="111"/>
      <c r="BP98" s="111"/>
      <c r="BQ98" s="111"/>
      <c r="BR98" s="111">
        <v>0.0</v>
      </c>
      <c r="BS98" s="111"/>
      <c r="BT98" s="111">
        <v>0.0</v>
      </c>
      <c r="BU98" s="111">
        <v>0.0</v>
      </c>
      <c r="BV98" s="111"/>
      <c r="BW98" s="111"/>
      <c r="BX98" s="111"/>
      <c r="BY98" s="111"/>
      <c r="BZ98" s="142"/>
      <c r="CA98" s="111"/>
      <c r="CB98" s="111">
        <v>4.0</v>
      </c>
      <c r="CC98" s="111"/>
      <c r="CD98" s="111"/>
      <c r="CE98" s="111"/>
      <c r="CF98" s="111"/>
      <c r="CG98" s="111"/>
      <c r="CH98" s="111"/>
      <c r="CI98" s="111"/>
      <c r="CJ98" s="111"/>
      <c r="CK98" s="111"/>
      <c r="CL98" s="111"/>
      <c r="CM98" s="111"/>
      <c r="CN98" s="111"/>
      <c r="CO98" s="111"/>
      <c r="CP98" s="111"/>
      <c r="CQ98" s="111"/>
      <c r="CR98" s="111">
        <v>8460.0</v>
      </c>
      <c r="CS98" s="111">
        <v>0.0</v>
      </c>
      <c r="CT98" s="111">
        <f t="shared" si="14"/>
        <v>84.6</v>
      </c>
      <c r="CU98" s="111"/>
      <c r="CV98" s="111">
        <v>0.0</v>
      </c>
      <c r="CW98" s="111"/>
      <c r="CX98" s="111"/>
      <c r="CY98" s="111"/>
      <c r="CZ98" s="111">
        <v>3300.0</v>
      </c>
      <c r="DA98" s="18">
        <v>95.6</v>
      </c>
      <c r="DB98" s="18">
        <v>3.5</v>
      </c>
      <c r="DC98" s="111">
        <v>2.0</v>
      </c>
      <c r="DD98" s="145">
        <v>0.08</v>
      </c>
      <c r="DE98" s="145">
        <v>2.0</v>
      </c>
      <c r="DF98" s="111">
        <f t="shared" si="15"/>
        <v>39.0070922</v>
      </c>
      <c r="DG98" s="111"/>
      <c r="DH98" s="111"/>
      <c r="DI98" s="111"/>
      <c r="DJ98" s="111"/>
      <c r="DK98" s="111"/>
      <c r="DL98" s="111"/>
      <c r="DM98" s="111">
        <v>2.6</v>
      </c>
      <c r="DN98" s="149">
        <f t="shared" si="17"/>
        <v>184</v>
      </c>
      <c r="DO98" s="111">
        <v>12.0</v>
      </c>
      <c r="DP98" s="111"/>
      <c r="DQ98" s="111"/>
      <c r="DR98" s="111"/>
      <c r="DS98" s="111"/>
      <c r="DT98" s="111"/>
      <c r="DU98" s="111"/>
      <c r="DV98" s="111"/>
      <c r="DW98" s="111">
        <v>6015.0</v>
      </c>
      <c r="DX98" s="146">
        <f t="shared" si="16"/>
        <v>1.822727273</v>
      </c>
      <c r="DY98" s="111">
        <v>45.0</v>
      </c>
      <c r="DZ98" s="111"/>
      <c r="EA98" s="111"/>
      <c r="EB98" s="111"/>
      <c r="EC98" s="111"/>
      <c r="ED98" s="111">
        <v>21.45</v>
      </c>
      <c r="EE98" s="111"/>
      <c r="EF98" s="111"/>
      <c r="EG98" s="111"/>
      <c r="EH98" s="111"/>
      <c r="EI98" s="111"/>
      <c r="EJ98" s="111"/>
      <c r="EK98" s="147"/>
      <c r="EL98" s="111"/>
    </row>
    <row r="99" ht="17.25" customHeight="1">
      <c r="A99" s="148">
        <v>46006.0</v>
      </c>
      <c r="B99" s="111">
        <v>0.0</v>
      </c>
      <c r="C99" s="111"/>
      <c r="D99" s="111"/>
      <c r="E99" s="111">
        <v>100.0</v>
      </c>
      <c r="F99" s="111">
        <v>30.26</v>
      </c>
      <c r="G99" s="111">
        <v>70.35</v>
      </c>
      <c r="H99" s="111"/>
      <c r="I99" s="111"/>
      <c r="J99" s="111"/>
      <c r="K99" s="111">
        <v>74.0</v>
      </c>
      <c r="L99" s="111"/>
      <c r="M99" s="111">
        <v>12.51</v>
      </c>
      <c r="N99" s="111">
        <v>69.22</v>
      </c>
      <c r="O99" s="111">
        <v>6.09</v>
      </c>
      <c r="P99" s="111"/>
      <c r="Q99" s="111">
        <v>12.51</v>
      </c>
      <c r="R99" s="111">
        <v>69.22</v>
      </c>
      <c r="S99" s="111"/>
      <c r="T99" s="111">
        <v>9.65</v>
      </c>
      <c r="U99" s="111">
        <v>54.92</v>
      </c>
      <c r="V99" s="111"/>
      <c r="W99" s="111">
        <v>12.51</v>
      </c>
      <c r="X99" s="111">
        <v>69.22</v>
      </c>
      <c r="Y99" s="111"/>
      <c r="Z99" s="111">
        <v>10.3</v>
      </c>
      <c r="AA99" s="111">
        <v>53.88</v>
      </c>
      <c r="AB99" s="111"/>
      <c r="AC99" s="111">
        <v>12.51</v>
      </c>
      <c r="AD99" s="111">
        <v>69.22</v>
      </c>
      <c r="AE99" s="111"/>
      <c r="AF99" s="111">
        <v>9.06</v>
      </c>
      <c r="AG99" s="111">
        <v>52.09</v>
      </c>
      <c r="AH99" s="111"/>
      <c r="AI99" s="111"/>
      <c r="AJ99" s="111"/>
      <c r="AK99" s="111"/>
      <c r="AL99" s="111">
        <v>5.3</v>
      </c>
      <c r="AM99" s="111"/>
      <c r="AN99" s="111">
        <v>6.95</v>
      </c>
      <c r="AO99" s="111">
        <v>34.0</v>
      </c>
      <c r="AP99" s="111">
        <v>0.0</v>
      </c>
      <c r="AQ99" s="111">
        <v>0.0</v>
      </c>
      <c r="AR99" s="111">
        <v>0.0</v>
      </c>
      <c r="AS99" s="111"/>
      <c r="AT99" s="142"/>
      <c r="AU99" s="142"/>
      <c r="AV99" s="111">
        <v>12.0</v>
      </c>
      <c r="AW99" s="111"/>
      <c r="AX99" s="111"/>
      <c r="AY99" s="111"/>
      <c r="AZ99" s="111"/>
      <c r="BA99" s="111"/>
      <c r="BB99" s="111">
        <v>5.55</v>
      </c>
      <c r="BC99" s="111"/>
      <c r="BD99" s="111">
        <v>6.92</v>
      </c>
      <c r="BE99" s="111">
        <v>33.0</v>
      </c>
      <c r="BF99" s="111"/>
      <c r="BG99" s="111"/>
      <c r="BH99" s="111"/>
      <c r="BI99" s="111"/>
      <c r="BJ99" s="142"/>
      <c r="BK99" s="111"/>
      <c r="BL99" s="111">
        <v>4.0</v>
      </c>
      <c r="BM99" s="111"/>
      <c r="BN99" s="111"/>
      <c r="BO99" s="111"/>
      <c r="BP99" s="111"/>
      <c r="BQ99" s="111"/>
      <c r="BR99" s="111">
        <v>4.72</v>
      </c>
      <c r="BS99" s="111"/>
      <c r="BT99" s="111">
        <v>6.98</v>
      </c>
      <c r="BU99" s="111">
        <v>31.5</v>
      </c>
      <c r="BV99" s="111"/>
      <c r="BW99" s="111"/>
      <c r="BX99" s="111"/>
      <c r="BY99" s="111"/>
      <c r="BZ99" s="142"/>
      <c r="CA99" s="111"/>
      <c r="CB99" s="111">
        <v>4.0</v>
      </c>
      <c r="CC99" s="111"/>
      <c r="CD99" s="111"/>
      <c r="CE99" s="111"/>
      <c r="CF99" s="111"/>
      <c r="CG99" s="111"/>
      <c r="CH99" s="111"/>
      <c r="CI99" s="111"/>
      <c r="CJ99" s="111"/>
      <c r="CK99" s="111"/>
      <c r="CL99" s="111"/>
      <c r="CM99" s="111"/>
      <c r="CN99" s="111"/>
      <c r="CO99" s="111"/>
      <c r="CP99" s="111"/>
      <c r="CQ99" s="111"/>
      <c r="CR99" s="111">
        <v>7118.0</v>
      </c>
      <c r="CS99" s="111">
        <v>0.0</v>
      </c>
      <c r="CT99" s="111">
        <f t="shared" si="14"/>
        <v>71.18</v>
      </c>
      <c r="CU99" s="111"/>
      <c r="CV99" s="111">
        <v>43.0</v>
      </c>
      <c r="CW99" s="111"/>
      <c r="CX99" s="111"/>
      <c r="CY99" s="111"/>
      <c r="CZ99" s="111">
        <v>2200.0</v>
      </c>
      <c r="DA99" s="111">
        <v>95.744</v>
      </c>
      <c r="DB99" s="111">
        <v>3.106</v>
      </c>
      <c r="DC99" s="111">
        <v>5.0</v>
      </c>
      <c r="DD99" s="111">
        <v>0.1</v>
      </c>
      <c r="DE99" s="111">
        <v>1.0</v>
      </c>
      <c r="DF99" s="111">
        <f t="shared" si="15"/>
        <v>30.9075583</v>
      </c>
      <c r="DG99" s="111"/>
      <c r="DH99" s="111"/>
      <c r="DI99" s="111"/>
      <c r="DJ99" s="111"/>
      <c r="DK99" s="111"/>
      <c r="DL99" s="111"/>
      <c r="DM99" s="111">
        <v>0.0</v>
      </c>
      <c r="DN99" s="149">
        <f t="shared" si="17"/>
        <v>172</v>
      </c>
      <c r="DO99" s="111">
        <v>0.0</v>
      </c>
      <c r="DP99" s="111"/>
      <c r="DQ99" s="111"/>
      <c r="DR99" s="111"/>
      <c r="DS99" s="111"/>
      <c r="DT99" s="111"/>
      <c r="DU99" s="111"/>
      <c r="DV99" s="111"/>
      <c r="DW99" s="111">
        <v>5580.0</v>
      </c>
      <c r="DX99" s="146">
        <f t="shared" si="16"/>
        <v>2.536363636</v>
      </c>
      <c r="DY99" s="111">
        <v>45.0</v>
      </c>
      <c r="DZ99" s="111"/>
      <c r="EA99" s="111"/>
      <c r="EB99" s="111"/>
      <c r="EC99" s="111"/>
      <c r="ED99" s="111">
        <v>18.45</v>
      </c>
      <c r="EE99" s="111"/>
      <c r="EF99" s="111"/>
      <c r="EG99" s="111"/>
      <c r="EH99" s="111"/>
      <c r="EI99" s="111"/>
      <c r="EJ99" s="111"/>
      <c r="EK99" s="147"/>
      <c r="EL99" s="111"/>
    </row>
    <row r="100" ht="17.25" customHeight="1">
      <c r="A100" s="148">
        <v>46007.0</v>
      </c>
      <c r="B100" s="111">
        <v>0.0</v>
      </c>
      <c r="C100" s="111"/>
      <c r="D100" s="111"/>
      <c r="E100" s="111">
        <v>100.0</v>
      </c>
      <c r="F100" s="111">
        <v>29.35</v>
      </c>
      <c r="G100" s="111">
        <v>71.37</v>
      </c>
      <c r="H100" s="111"/>
      <c r="I100" s="111"/>
      <c r="J100" s="111"/>
      <c r="K100" s="111">
        <v>84.0</v>
      </c>
      <c r="L100" s="111"/>
      <c r="M100" s="111">
        <v>13.38</v>
      </c>
      <c r="N100" s="111">
        <v>73.16</v>
      </c>
      <c r="O100" s="111">
        <v>5.9</v>
      </c>
      <c r="P100" s="111"/>
      <c r="Q100" s="111">
        <v>13.38</v>
      </c>
      <c r="R100" s="111">
        <v>73.16</v>
      </c>
      <c r="S100" s="111"/>
      <c r="T100" s="111">
        <v>9.75</v>
      </c>
      <c r="U100" s="111">
        <v>58.25</v>
      </c>
      <c r="V100" s="111"/>
      <c r="W100" s="111">
        <v>13.38</v>
      </c>
      <c r="X100" s="111">
        <v>73.16</v>
      </c>
      <c r="Y100" s="111"/>
      <c r="Z100" s="111">
        <v>10.63</v>
      </c>
      <c r="AA100" s="111">
        <v>52.96</v>
      </c>
      <c r="AB100" s="111"/>
      <c r="AC100" s="111">
        <v>13.38</v>
      </c>
      <c r="AD100" s="111">
        <v>73.16</v>
      </c>
      <c r="AE100" s="111"/>
      <c r="AF100" s="111">
        <v>9.1</v>
      </c>
      <c r="AG100" s="111">
        <v>52.41</v>
      </c>
      <c r="AH100" s="111"/>
      <c r="AI100" s="111"/>
      <c r="AJ100" s="111"/>
      <c r="AK100" s="111"/>
      <c r="AL100" s="111">
        <v>5.68</v>
      </c>
      <c r="AM100" s="111"/>
      <c r="AN100" s="111">
        <v>6.92</v>
      </c>
      <c r="AO100" s="111">
        <v>34.0</v>
      </c>
      <c r="AP100" s="111">
        <v>0.0</v>
      </c>
      <c r="AQ100" s="111">
        <v>0.0</v>
      </c>
      <c r="AR100" s="111">
        <v>0.0</v>
      </c>
      <c r="AS100" s="111"/>
      <c r="AT100" s="142"/>
      <c r="AU100" s="142"/>
      <c r="AV100" s="111">
        <v>12.0</v>
      </c>
      <c r="AW100" s="111"/>
      <c r="AX100" s="111"/>
      <c r="AY100" s="111"/>
      <c r="AZ100" s="111"/>
      <c r="BA100" s="111"/>
      <c r="BB100" s="111">
        <v>5.63</v>
      </c>
      <c r="BC100" s="111"/>
      <c r="BD100" s="111">
        <v>6.94</v>
      </c>
      <c r="BE100" s="111">
        <v>32.0</v>
      </c>
      <c r="BF100" s="111"/>
      <c r="BG100" s="111"/>
      <c r="BH100" s="111"/>
      <c r="BI100" s="111"/>
      <c r="BJ100" s="142"/>
      <c r="BK100" s="111"/>
      <c r="BL100" s="111">
        <v>4.0</v>
      </c>
      <c r="BM100" s="111"/>
      <c r="BN100" s="111"/>
      <c r="BO100" s="111"/>
      <c r="BP100" s="111"/>
      <c r="BQ100" s="111"/>
      <c r="BR100" s="111">
        <v>4.77</v>
      </c>
      <c r="BS100" s="111"/>
      <c r="BT100" s="111">
        <v>6.97</v>
      </c>
      <c r="BU100" s="111">
        <v>32.0</v>
      </c>
      <c r="BV100" s="111"/>
      <c r="BW100" s="111"/>
      <c r="BX100" s="111"/>
      <c r="BY100" s="111"/>
      <c r="BZ100" s="142"/>
      <c r="CA100" s="111"/>
      <c r="CB100" s="111">
        <v>4.0</v>
      </c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>
        <v>8142.0</v>
      </c>
      <c r="CS100" s="111">
        <v>0.0</v>
      </c>
      <c r="CT100" s="111">
        <f t="shared" si="14"/>
        <v>81.42</v>
      </c>
      <c r="CU100" s="111"/>
      <c r="CV100" s="111">
        <v>43.0</v>
      </c>
      <c r="CW100" s="111"/>
      <c r="CX100" s="111"/>
      <c r="CY100" s="111"/>
      <c r="CZ100" s="111">
        <v>3273.0</v>
      </c>
      <c r="DA100" s="111">
        <v>96.4</v>
      </c>
      <c r="DB100" s="111">
        <v>2.1</v>
      </c>
      <c r="DC100" s="111">
        <v>2.0</v>
      </c>
      <c r="DD100" s="111">
        <v>0.08</v>
      </c>
      <c r="DE100" s="111">
        <v>2.0</v>
      </c>
      <c r="DF100" s="111">
        <f t="shared" si="15"/>
        <v>40.19896831</v>
      </c>
      <c r="DG100" s="111"/>
      <c r="DH100" s="111"/>
      <c r="DI100" s="111"/>
      <c r="DJ100" s="111"/>
      <c r="DK100" s="111"/>
      <c r="DL100" s="111"/>
      <c r="DM100" s="111">
        <v>0.0</v>
      </c>
      <c r="DN100" s="149">
        <f t="shared" si="17"/>
        <v>172</v>
      </c>
      <c r="DO100" s="111">
        <v>12.0</v>
      </c>
      <c r="DP100" s="111"/>
      <c r="DQ100" s="111"/>
      <c r="DR100" s="111"/>
      <c r="DS100" s="111"/>
      <c r="DT100" s="111"/>
      <c r="DU100" s="111"/>
      <c r="DV100" s="111"/>
      <c r="DW100" s="111">
        <v>6285.0</v>
      </c>
      <c r="DX100" s="146">
        <f t="shared" si="16"/>
        <v>1.920256645</v>
      </c>
      <c r="DY100" s="111">
        <v>45.0</v>
      </c>
      <c r="DZ100" s="111"/>
      <c r="EA100" s="111"/>
      <c r="EB100" s="111"/>
      <c r="EC100" s="111"/>
      <c r="ED100" s="111">
        <v>21.3</v>
      </c>
      <c r="EE100" s="111"/>
      <c r="EF100" s="111"/>
      <c r="EG100" s="111"/>
      <c r="EH100" s="111"/>
      <c r="EI100" s="111"/>
      <c r="EJ100" s="111"/>
      <c r="EK100" s="147"/>
      <c r="EL100" s="111"/>
    </row>
    <row r="101" ht="17.25" customHeight="1">
      <c r="A101" s="148">
        <v>46008.0</v>
      </c>
      <c r="B101" s="111">
        <v>0.0</v>
      </c>
      <c r="C101" s="111"/>
      <c r="D101" s="111"/>
      <c r="E101" s="111">
        <v>100.0</v>
      </c>
      <c r="F101" s="111">
        <v>29.64</v>
      </c>
      <c r="G101" s="111">
        <v>71.45</v>
      </c>
      <c r="H101" s="111"/>
      <c r="I101" s="111"/>
      <c r="J101" s="111"/>
      <c r="K101" s="111">
        <v>74.0</v>
      </c>
      <c r="L101" s="111"/>
      <c r="M101" s="111">
        <v>13.1</v>
      </c>
      <c r="N101" s="111">
        <v>69.46</v>
      </c>
      <c r="O101" s="111">
        <v>5.97</v>
      </c>
      <c r="P101" s="111"/>
      <c r="Q101" s="111">
        <v>13.1</v>
      </c>
      <c r="R101" s="111">
        <v>69.46</v>
      </c>
      <c r="S101" s="111"/>
      <c r="T101" s="111">
        <v>9.76</v>
      </c>
      <c r="U101" s="111">
        <v>56.96</v>
      </c>
      <c r="V101" s="111"/>
      <c r="W101" s="111">
        <v>13.1</v>
      </c>
      <c r="X101" s="111">
        <v>69.46</v>
      </c>
      <c r="Y101" s="111"/>
      <c r="Z101" s="111">
        <v>10.39</v>
      </c>
      <c r="AA101" s="111">
        <v>54.86</v>
      </c>
      <c r="AB101" s="111"/>
      <c r="AC101" s="111">
        <v>13.1</v>
      </c>
      <c r="AD101" s="111">
        <v>69.46</v>
      </c>
      <c r="AE101" s="111"/>
      <c r="AF101" s="111">
        <v>9.32</v>
      </c>
      <c r="AG101" s="111">
        <v>54.07</v>
      </c>
      <c r="AH101" s="111"/>
      <c r="AI101" s="111"/>
      <c r="AJ101" s="111"/>
      <c r="AK101" s="111"/>
      <c r="AL101" s="111">
        <v>5.56</v>
      </c>
      <c r="AM101" s="111"/>
      <c r="AN101" s="111">
        <v>7.02</v>
      </c>
      <c r="AO101" s="111">
        <v>34.0</v>
      </c>
      <c r="AP101" s="111">
        <v>0.0</v>
      </c>
      <c r="AQ101" s="111">
        <v>0.0</v>
      </c>
      <c r="AR101" s="111">
        <v>0.0</v>
      </c>
      <c r="AS101" s="111"/>
      <c r="AT101" s="142"/>
      <c r="AU101" s="142"/>
      <c r="AV101" s="111">
        <v>12.0</v>
      </c>
      <c r="AW101" s="111"/>
      <c r="AX101" s="111"/>
      <c r="AY101" s="111"/>
      <c r="AZ101" s="111"/>
      <c r="BA101" s="111"/>
      <c r="BB101" s="111">
        <v>5.7</v>
      </c>
      <c r="BC101" s="111"/>
      <c r="BD101" s="111">
        <v>7.03</v>
      </c>
      <c r="BE101" s="111">
        <v>32.0</v>
      </c>
      <c r="BF101" s="111"/>
      <c r="BG101" s="111"/>
      <c r="BH101" s="111"/>
      <c r="BI101" s="111"/>
      <c r="BJ101" s="142"/>
      <c r="BK101" s="111"/>
      <c r="BL101" s="111">
        <v>4.0</v>
      </c>
      <c r="BM101" s="111"/>
      <c r="BN101" s="111"/>
      <c r="BO101" s="111"/>
      <c r="BP101" s="111"/>
      <c r="BQ101" s="111"/>
      <c r="BR101" s="111">
        <v>5.04</v>
      </c>
      <c r="BS101" s="111"/>
      <c r="BT101" s="111">
        <v>7.04</v>
      </c>
      <c r="BU101" s="111">
        <v>32.0</v>
      </c>
      <c r="BV101" s="111"/>
      <c r="BW101" s="111"/>
      <c r="BX101" s="111"/>
      <c r="BY101" s="111"/>
      <c r="BZ101" s="142"/>
      <c r="CA101" s="111"/>
      <c r="CB101" s="111">
        <v>4.0</v>
      </c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>
        <v>7475.0</v>
      </c>
      <c r="CS101" s="111">
        <v>0.0</v>
      </c>
      <c r="CT101" s="111">
        <f t="shared" si="14"/>
        <v>74.75</v>
      </c>
      <c r="CU101" s="111"/>
      <c r="CV101" s="111">
        <v>44.0</v>
      </c>
      <c r="CW101" s="111"/>
      <c r="CX101" s="111"/>
      <c r="CY101" s="111"/>
      <c r="CZ101" s="111">
        <v>2727.0</v>
      </c>
      <c r="DA101" s="111">
        <v>95.744</v>
      </c>
      <c r="DB101" s="111">
        <v>3.106</v>
      </c>
      <c r="DC101" s="111">
        <v>5.0</v>
      </c>
      <c r="DD101" s="111">
        <v>0.1</v>
      </c>
      <c r="DE101" s="111">
        <v>1.0</v>
      </c>
      <c r="DF101" s="111">
        <f t="shared" si="15"/>
        <v>36.48160535</v>
      </c>
      <c r="DG101" s="111"/>
      <c r="DH101" s="111"/>
      <c r="DI101" s="111"/>
      <c r="DJ101" s="111"/>
      <c r="DK101" s="111"/>
      <c r="DL101" s="111"/>
      <c r="DM101" s="111">
        <v>0.0</v>
      </c>
      <c r="DN101" s="149">
        <f t="shared" si="17"/>
        <v>160</v>
      </c>
      <c r="DO101" s="111">
        <v>12.0</v>
      </c>
      <c r="DP101" s="111"/>
      <c r="DQ101" s="111"/>
      <c r="DR101" s="111"/>
      <c r="DS101" s="111"/>
      <c r="DT101" s="111"/>
      <c r="DU101" s="111"/>
      <c r="DV101" s="111"/>
      <c r="DW101" s="111">
        <v>5670.0</v>
      </c>
      <c r="DX101" s="146">
        <f t="shared" si="16"/>
        <v>2.079207921</v>
      </c>
      <c r="DY101" s="111">
        <v>45.0</v>
      </c>
      <c r="DZ101" s="111"/>
      <c r="EA101" s="111"/>
      <c r="EB101" s="111"/>
      <c r="EC101" s="111"/>
      <c r="ED101" s="111">
        <v>19.0</v>
      </c>
      <c r="EE101" s="111"/>
      <c r="EF101" s="111"/>
      <c r="EG101" s="111"/>
      <c r="EH101" s="111"/>
      <c r="EI101" s="111"/>
      <c r="EJ101" s="111"/>
      <c r="EK101" s="147"/>
      <c r="EL101" s="111"/>
    </row>
    <row r="102" ht="17.25" customHeight="1">
      <c r="A102" s="148">
        <v>46009.0</v>
      </c>
      <c r="B102" s="111">
        <v>0.0</v>
      </c>
      <c r="C102" s="111"/>
      <c r="D102" s="111"/>
      <c r="E102" s="111">
        <v>100.0</v>
      </c>
      <c r="F102" s="111">
        <v>0.0</v>
      </c>
      <c r="G102" s="111">
        <v>0.0</v>
      </c>
      <c r="H102" s="111"/>
      <c r="I102" s="111"/>
      <c r="J102" s="111"/>
      <c r="K102" s="111">
        <v>66.0</v>
      </c>
      <c r="L102" s="111"/>
      <c r="M102" s="111">
        <v>0.0</v>
      </c>
      <c r="N102" s="111">
        <v>0.0</v>
      </c>
      <c r="O102" s="111">
        <v>0.0</v>
      </c>
      <c r="P102" s="111"/>
      <c r="Q102" s="111">
        <v>0.0</v>
      </c>
      <c r="R102" s="111">
        <v>0.0</v>
      </c>
      <c r="S102" s="111"/>
      <c r="T102" s="111">
        <v>0.0</v>
      </c>
      <c r="U102" s="111">
        <v>0.0</v>
      </c>
      <c r="V102" s="111"/>
      <c r="W102" s="111">
        <v>0.0</v>
      </c>
      <c r="X102" s="111">
        <v>0.0</v>
      </c>
      <c r="Y102" s="111"/>
      <c r="Z102" s="111">
        <v>0.0</v>
      </c>
      <c r="AA102" s="111">
        <v>0.0</v>
      </c>
      <c r="AB102" s="111"/>
      <c r="AC102" s="111">
        <v>0.0</v>
      </c>
      <c r="AD102" s="111">
        <v>0.0</v>
      </c>
      <c r="AE102" s="111"/>
      <c r="AF102" s="111">
        <v>0.0</v>
      </c>
      <c r="AG102" s="111">
        <v>0.0</v>
      </c>
      <c r="AH102" s="111"/>
      <c r="AI102" s="111"/>
      <c r="AJ102" s="111"/>
      <c r="AK102" s="111"/>
      <c r="AL102" s="111">
        <v>0.0</v>
      </c>
      <c r="AM102" s="111"/>
      <c r="AN102" s="111">
        <v>0.0</v>
      </c>
      <c r="AO102" s="111">
        <v>0.0</v>
      </c>
      <c r="AP102" s="111">
        <v>0.0</v>
      </c>
      <c r="AQ102" s="111">
        <v>0.0</v>
      </c>
      <c r="AR102" s="111">
        <v>0.0</v>
      </c>
      <c r="AS102" s="111"/>
      <c r="AT102" s="142"/>
      <c r="AU102" s="142"/>
      <c r="AV102" s="111">
        <v>12.0</v>
      </c>
      <c r="AW102" s="111"/>
      <c r="AX102" s="111"/>
      <c r="AY102" s="111"/>
      <c r="AZ102" s="111"/>
      <c r="BA102" s="111"/>
      <c r="BB102" s="111">
        <v>0.0</v>
      </c>
      <c r="BC102" s="111"/>
      <c r="BD102" s="111">
        <v>0.0</v>
      </c>
      <c r="BE102" s="111">
        <v>0.0</v>
      </c>
      <c r="BF102" s="111"/>
      <c r="BG102" s="111"/>
      <c r="BH102" s="111"/>
      <c r="BI102" s="111"/>
      <c r="BJ102" s="142"/>
      <c r="BK102" s="111"/>
      <c r="BL102" s="111">
        <v>4.0</v>
      </c>
      <c r="BM102" s="111"/>
      <c r="BN102" s="111"/>
      <c r="BO102" s="111"/>
      <c r="BP102" s="111"/>
      <c r="BQ102" s="111"/>
      <c r="BR102" s="111">
        <v>0.0</v>
      </c>
      <c r="BS102" s="111"/>
      <c r="BT102" s="111">
        <v>0.0</v>
      </c>
      <c r="BU102" s="111">
        <v>0.0</v>
      </c>
      <c r="BV102" s="111"/>
      <c r="BW102" s="111"/>
      <c r="BX102" s="111"/>
      <c r="BY102" s="111"/>
      <c r="BZ102" s="142"/>
      <c r="CA102" s="111"/>
      <c r="CB102" s="111">
        <v>4.0</v>
      </c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>
        <v>8200.0</v>
      </c>
      <c r="CS102" s="111">
        <v>0.0</v>
      </c>
      <c r="CT102" s="111">
        <f t="shared" si="14"/>
        <v>82</v>
      </c>
      <c r="CU102" s="111"/>
      <c r="CV102" s="111">
        <v>0.0</v>
      </c>
      <c r="CW102" s="111"/>
      <c r="CX102" s="111"/>
      <c r="CY102" s="111"/>
      <c r="CZ102" s="111">
        <v>3034.0</v>
      </c>
      <c r="DA102" s="111">
        <v>95.744</v>
      </c>
      <c r="DB102" s="111">
        <v>3.106</v>
      </c>
      <c r="DC102" s="111">
        <v>3.0</v>
      </c>
      <c r="DD102" s="111">
        <v>0.1</v>
      </c>
      <c r="DE102" s="111">
        <v>1.0</v>
      </c>
      <c r="DF102" s="111">
        <f t="shared" si="15"/>
        <v>37</v>
      </c>
      <c r="DG102" s="111"/>
      <c r="DH102" s="111"/>
      <c r="DI102" s="111"/>
      <c r="DJ102" s="111"/>
      <c r="DK102" s="111"/>
      <c r="DL102" s="111"/>
      <c r="DM102" s="111">
        <v>4.2</v>
      </c>
      <c r="DN102" s="149">
        <f t="shared" si="17"/>
        <v>152.2</v>
      </c>
      <c r="DO102" s="111">
        <v>0.0</v>
      </c>
      <c r="DP102" s="111"/>
      <c r="DQ102" s="111"/>
      <c r="DR102" s="111"/>
      <c r="DS102" s="111"/>
      <c r="DT102" s="111"/>
      <c r="DU102" s="111"/>
      <c r="DV102" s="111"/>
      <c r="DW102" s="111">
        <v>5790.0</v>
      </c>
      <c r="DX102" s="146">
        <f t="shared" si="16"/>
        <v>1.908371786</v>
      </c>
      <c r="DY102" s="111">
        <v>45.0</v>
      </c>
      <c r="DZ102" s="111"/>
      <c r="EA102" s="111"/>
      <c r="EB102" s="111"/>
      <c r="EC102" s="111"/>
      <c r="ED102" s="111">
        <v>21.45</v>
      </c>
      <c r="EE102" s="111"/>
      <c r="EF102" s="111"/>
      <c r="EG102" s="111"/>
      <c r="EH102" s="111"/>
      <c r="EI102" s="111"/>
      <c r="EJ102" s="111"/>
      <c r="EK102" s="147"/>
      <c r="EL102" s="111"/>
    </row>
    <row r="103" ht="17.25" customHeight="1">
      <c r="A103" s="148">
        <v>46010.0</v>
      </c>
      <c r="B103" s="111">
        <v>0.0</v>
      </c>
      <c r="C103" s="111"/>
      <c r="D103" s="111"/>
      <c r="E103" s="111">
        <v>100.0</v>
      </c>
      <c r="F103" s="111">
        <v>0.0</v>
      </c>
      <c r="G103" s="111">
        <v>0.0</v>
      </c>
      <c r="H103" s="111"/>
      <c r="I103" s="111"/>
      <c r="J103" s="111"/>
      <c r="K103" s="111">
        <v>78.0</v>
      </c>
      <c r="L103" s="111"/>
      <c r="M103" s="111">
        <v>11.47</v>
      </c>
      <c r="N103" s="111">
        <v>74.45</v>
      </c>
      <c r="O103" s="111">
        <v>5.71</v>
      </c>
      <c r="P103" s="111"/>
      <c r="Q103" s="111">
        <v>11.47</v>
      </c>
      <c r="R103" s="111">
        <v>74.45</v>
      </c>
      <c r="S103" s="111"/>
      <c r="T103" s="111">
        <v>9.91</v>
      </c>
      <c r="U103" s="111">
        <v>57.21</v>
      </c>
      <c r="V103" s="111"/>
      <c r="W103" s="111">
        <v>11.47</v>
      </c>
      <c r="X103" s="111">
        <v>74.45</v>
      </c>
      <c r="Y103" s="111"/>
      <c r="Z103" s="111">
        <v>10.44</v>
      </c>
      <c r="AA103" s="111">
        <v>52.87</v>
      </c>
      <c r="AB103" s="111"/>
      <c r="AC103" s="111">
        <v>11.47</v>
      </c>
      <c r="AD103" s="111">
        <v>74.45</v>
      </c>
      <c r="AE103" s="111"/>
      <c r="AF103" s="111">
        <v>9.22</v>
      </c>
      <c r="AG103" s="111">
        <v>54.66</v>
      </c>
      <c r="AH103" s="111"/>
      <c r="AI103" s="111"/>
      <c r="AJ103" s="111"/>
      <c r="AK103" s="111"/>
      <c r="AL103" s="111">
        <v>5.67</v>
      </c>
      <c r="AM103" s="111"/>
      <c r="AN103" s="111">
        <v>6.98</v>
      </c>
      <c r="AO103" s="111">
        <v>34.0</v>
      </c>
      <c r="AP103" s="111">
        <v>0.0</v>
      </c>
      <c r="AQ103" s="111">
        <v>0.0</v>
      </c>
      <c r="AR103" s="111">
        <v>0.0</v>
      </c>
      <c r="AS103" s="111"/>
      <c r="AT103" s="142"/>
      <c r="AU103" s="142"/>
      <c r="AV103" s="111">
        <v>12.0</v>
      </c>
      <c r="AW103" s="111"/>
      <c r="AX103" s="111"/>
      <c r="AY103" s="111"/>
      <c r="AZ103" s="111"/>
      <c r="BA103" s="111"/>
      <c r="BB103" s="111">
        <v>5.52</v>
      </c>
      <c r="BC103" s="111"/>
      <c r="BD103" s="111">
        <v>6.96</v>
      </c>
      <c r="BE103" s="111">
        <v>32.0</v>
      </c>
      <c r="BF103" s="111"/>
      <c r="BG103" s="111"/>
      <c r="BH103" s="111"/>
      <c r="BI103" s="111"/>
      <c r="BJ103" s="142"/>
      <c r="BK103" s="111"/>
      <c r="BL103" s="111">
        <v>4.0</v>
      </c>
      <c r="BM103" s="111"/>
      <c r="BN103" s="111"/>
      <c r="BO103" s="111"/>
      <c r="BP103" s="111"/>
      <c r="BQ103" s="111"/>
      <c r="BR103" s="111">
        <v>5.04</v>
      </c>
      <c r="BS103" s="111"/>
      <c r="BT103" s="111">
        <v>7.02</v>
      </c>
      <c r="BU103" s="111">
        <v>31.5</v>
      </c>
      <c r="BV103" s="111"/>
      <c r="BW103" s="111"/>
      <c r="BX103" s="111"/>
      <c r="BY103" s="111"/>
      <c r="BZ103" s="142"/>
      <c r="CA103" s="111"/>
      <c r="CB103" s="111">
        <v>4.0</v>
      </c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>
        <v>7054.0</v>
      </c>
      <c r="CS103" s="111">
        <v>0.0</v>
      </c>
      <c r="CT103" s="111">
        <f t="shared" si="14"/>
        <v>70.54</v>
      </c>
      <c r="CU103" s="111"/>
      <c r="CV103" s="111">
        <v>0.0</v>
      </c>
      <c r="CW103" s="111"/>
      <c r="CX103" s="111"/>
      <c r="CY103" s="111"/>
      <c r="CZ103" s="111">
        <v>2580.0</v>
      </c>
      <c r="DA103" s="111">
        <v>95.449</v>
      </c>
      <c r="DB103" s="111">
        <v>3.255</v>
      </c>
      <c r="DC103" s="111">
        <v>2.0</v>
      </c>
      <c r="DD103" s="111">
        <v>0.1</v>
      </c>
      <c r="DE103" s="111">
        <v>1.1</v>
      </c>
      <c r="DF103" s="111">
        <f t="shared" si="15"/>
        <v>36.57499291</v>
      </c>
      <c r="DG103" s="111"/>
      <c r="DH103" s="111"/>
      <c r="DI103" s="111"/>
      <c r="DJ103" s="111"/>
      <c r="DK103" s="111"/>
      <c r="DL103" s="111"/>
      <c r="DM103" s="111">
        <v>4.2</v>
      </c>
      <c r="DN103" s="149">
        <f t="shared" si="17"/>
        <v>156.4</v>
      </c>
      <c r="DO103" s="111">
        <v>0.0</v>
      </c>
      <c r="DP103" s="111"/>
      <c r="DQ103" s="111"/>
      <c r="DR103" s="111"/>
      <c r="DS103" s="111"/>
      <c r="DT103" s="111"/>
      <c r="DU103" s="111"/>
      <c r="DV103" s="111"/>
      <c r="DW103" s="111">
        <v>5250.0</v>
      </c>
      <c r="DX103" s="146">
        <f t="shared" si="16"/>
        <v>2.034883721</v>
      </c>
      <c r="DY103" s="111">
        <v>45.0</v>
      </c>
      <c r="DZ103" s="111"/>
      <c r="EA103" s="111"/>
      <c r="EB103" s="111"/>
      <c r="EC103" s="111"/>
      <c r="ED103" s="111">
        <v>18.35</v>
      </c>
      <c r="EE103" s="111"/>
      <c r="EF103" s="111"/>
      <c r="EG103" s="111"/>
      <c r="EH103" s="111"/>
      <c r="EI103" s="111"/>
      <c r="EJ103" s="111"/>
      <c r="EK103" s="147"/>
      <c r="EL103" s="111"/>
    </row>
    <row r="104" ht="17.25" customHeight="1">
      <c r="A104" s="148">
        <v>46011.0</v>
      </c>
      <c r="B104" s="111">
        <v>0.0</v>
      </c>
      <c r="C104" s="111"/>
      <c r="D104" s="111"/>
      <c r="E104" s="111">
        <v>100.0</v>
      </c>
      <c r="F104" s="111">
        <v>31.77</v>
      </c>
      <c r="G104" s="111">
        <v>69.56</v>
      </c>
      <c r="H104" s="111"/>
      <c r="I104" s="111"/>
      <c r="J104" s="111"/>
      <c r="K104" s="111">
        <v>84.0</v>
      </c>
      <c r="L104" s="111"/>
      <c r="M104" s="111">
        <v>12.05</v>
      </c>
      <c r="N104" s="111">
        <v>71.53</v>
      </c>
      <c r="O104" s="111">
        <v>6.09</v>
      </c>
      <c r="P104" s="111"/>
      <c r="Q104" s="111">
        <v>12.05</v>
      </c>
      <c r="R104" s="111">
        <v>71.53</v>
      </c>
      <c r="S104" s="111"/>
      <c r="T104" s="111">
        <v>9.78</v>
      </c>
      <c r="U104" s="111">
        <v>58.79</v>
      </c>
      <c r="V104" s="111"/>
      <c r="W104" s="111">
        <v>12.05</v>
      </c>
      <c r="X104" s="111">
        <v>71.53</v>
      </c>
      <c r="Y104" s="111"/>
      <c r="Z104" s="111">
        <v>10.42</v>
      </c>
      <c r="AA104" s="111">
        <v>54.51</v>
      </c>
      <c r="AB104" s="111"/>
      <c r="AC104" s="111">
        <v>12.05</v>
      </c>
      <c r="AD104" s="111">
        <v>71.53</v>
      </c>
      <c r="AE104" s="111"/>
      <c r="AF104" s="111">
        <v>9.14</v>
      </c>
      <c r="AG104" s="111">
        <v>54.81</v>
      </c>
      <c r="AH104" s="111"/>
      <c r="AI104" s="111"/>
      <c r="AJ104" s="111"/>
      <c r="AK104" s="111"/>
      <c r="AL104" s="111">
        <v>5.75</v>
      </c>
      <c r="AM104" s="111"/>
      <c r="AN104" s="111">
        <v>6.95</v>
      </c>
      <c r="AO104" s="111">
        <v>33.5</v>
      </c>
      <c r="AP104" s="111">
        <v>0.0</v>
      </c>
      <c r="AQ104" s="111">
        <v>0.0</v>
      </c>
      <c r="AR104" s="111">
        <v>0.0</v>
      </c>
      <c r="AS104" s="111"/>
      <c r="AT104" s="142"/>
      <c r="AU104" s="142"/>
      <c r="AV104" s="111">
        <v>12.0</v>
      </c>
      <c r="AW104" s="111"/>
      <c r="AX104" s="111"/>
      <c r="AY104" s="111"/>
      <c r="AZ104" s="111"/>
      <c r="BA104" s="111"/>
      <c r="BB104" s="111">
        <v>5.68</v>
      </c>
      <c r="BC104" s="111"/>
      <c r="BD104" s="111">
        <v>6.99</v>
      </c>
      <c r="BE104" s="111">
        <v>32.0</v>
      </c>
      <c r="BF104" s="111"/>
      <c r="BG104" s="111"/>
      <c r="BH104" s="111"/>
      <c r="BI104" s="111"/>
      <c r="BJ104" s="142"/>
      <c r="BK104" s="111"/>
      <c r="BL104" s="111">
        <v>4.0</v>
      </c>
      <c r="BM104" s="111"/>
      <c r="BN104" s="111"/>
      <c r="BO104" s="111"/>
      <c r="BP104" s="111"/>
      <c r="BQ104" s="111"/>
      <c r="BR104" s="111">
        <v>5.01</v>
      </c>
      <c r="BS104" s="111"/>
      <c r="BT104" s="111">
        <v>6.98</v>
      </c>
      <c r="BU104" s="111">
        <v>32.0</v>
      </c>
      <c r="BV104" s="111"/>
      <c r="BW104" s="111"/>
      <c r="BX104" s="111"/>
      <c r="BY104" s="111"/>
      <c r="BZ104" s="142"/>
      <c r="CA104" s="111"/>
      <c r="CB104" s="111">
        <v>4.0</v>
      </c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>
        <v>7437.0</v>
      </c>
      <c r="CS104" s="111">
        <v>0.0</v>
      </c>
      <c r="CT104" s="111">
        <f t="shared" si="14"/>
        <v>74.37</v>
      </c>
      <c r="CU104" s="111"/>
      <c r="CV104" s="111">
        <v>40.0</v>
      </c>
      <c r="CW104" s="111"/>
      <c r="CX104" s="111"/>
      <c r="CY104" s="111"/>
      <c r="CZ104" s="111">
        <v>3056.0</v>
      </c>
      <c r="DA104" s="111">
        <v>95.449</v>
      </c>
      <c r="DB104" s="111">
        <v>3.255</v>
      </c>
      <c r="DC104" s="111">
        <v>2.0</v>
      </c>
      <c r="DD104" s="111">
        <v>0.1</v>
      </c>
      <c r="DE104" s="111">
        <v>1.1</v>
      </c>
      <c r="DF104" s="111">
        <f t="shared" si="15"/>
        <v>41.09183811</v>
      </c>
      <c r="DG104" s="111"/>
      <c r="DH104" s="111"/>
      <c r="DI104" s="111"/>
      <c r="DJ104" s="111"/>
      <c r="DK104" s="111"/>
      <c r="DL104" s="111"/>
      <c r="DM104" s="111">
        <v>0.0</v>
      </c>
      <c r="DN104" s="149">
        <f t="shared" si="17"/>
        <v>156.4</v>
      </c>
      <c r="DO104" s="111">
        <v>25.0</v>
      </c>
      <c r="DP104" s="111"/>
      <c r="DQ104" s="111"/>
      <c r="DR104" s="111"/>
      <c r="DS104" s="111"/>
      <c r="DT104" s="111"/>
      <c r="DU104" s="111"/>
      <c r="DV104" s="111"/>
      <c r="DW104" s="111">
        <v>6045.0</v>
      </c>
      <c r="DX104" s="146">
        <f t="shared" si="16"/>
        <v>1.978075916</v>
      </c>
      <c r="DY104" s="111">
        <v>45.0</v>
      </c>
      <c r="DZ104" s="111"/>
      <c r="EA104" s="111"/>
      <c r="EB104" s="111"/>
      <c r="EC104" s="111"/>
      <c r="ED104" s="111">
        <v>20.4</v>
      </c>
      <c r="EE104" s="111"/>
      <c r="EF104" s="111"/>
      <c r="EG104" s="111"/>
      <c r="EH104" s="111"/>
      <c r="EI104" s="111"/>
      <c r="EJ104" s="111"/>
      <c r="EK104" s="147"/>
      <c r="EL104" s="111"/>
    </row>
    <row r="105" ht="17.25" customHeight="1">
      <c r="A105" s="148">
        <v>46012.0</v>
      </c>
      <c r="B105" s="111">
        <v>0.0</v>
      </c>
      <c r="C105" s="111"/>
      <c r="D105" s="111"/>
      <c r="E105" s="111">
        <v>100.0</v>
      </c>
      <c r="F105" s="111">
        <v>0.0</v>
      </c>
      <c r="G105" s="111">
        <v>0.0</v>
      </c>
      <c r="H105" s="111"/>
      <c r="I105" s="111"/>
      <c r="J105" s="111"/>
      <c r="K105" s="111">
        <v>80.0</v>
      </c>
      <c r="L105" s="111"/>
      <c r="M105" s="111">
        <v>0.0</v>
      </c>
      <c r="N105" s="111">
        <v>0.0</v>
      </c>
      <c r="O105" s="111">
        <v>0.0</v>
      </c>
      <c r="P105" s="111"/>
      <c r="Q105" s="111">
        <v>0.0</v>
      </c>
      <c r="R105" s="111">
        <v>0.0</v>
      </c>
      <c r="S105" s="111"/>
      <c r="T105" s="111">
        <v>0.0</v>
      </c>
      <c r="U105" s="111">
        <v>0.0</v>
      </c>
      <c r="V105" s="111"/>
      <c r="W105" s="111">
        <v>0.0</v>
      </c>
      <c r="X105" s="111">
        <v>0.0</v>
      </c>
      <c r="Y105" s="111"/>
      <c r="Z105" s="111">
        <v>0.0</v>
      </c>
      <c r="AA105" s="111">
        <v>0.0</v>
      </c>
      <c r="AB105" s="111"/>
      <c r="AC105" s="111">
        <v>0.0</v>
      </c>
      <c r="AD105" s="111">
        <v>0.0</v>
      </c>
      <c r="AE105" s="111"/>
      <c r="AF105" s="111">
        <v>0.0</v>
      </c>
      <c r="AG105" s="111">
        <v>0.0</v>
      </c>
      <c r="AH105" s="111"/>
      <c r="AI105" s="111"/>
      <c r="AJ105" s="111"/>
      <c r="AK105" s="111"/>
      <c r="AL105" s="111">
        <v>0.0</v>
      </c>
      <c r="AM105" s="111"/>
      <c r="AN105" s="111">
        <v>0.0</v>
      </c>
      <c r="AO105" s="111">
        <v>0.0</v>
      </c>
      <c r="AP105" s="111">
        <v>0.0</v>
      </c>
      <c r="AQ105" s="111">
        <v>0.0</v>
      </c>
      <c r="AR105" s="111">
        <v>0.0</v>
      </c>
      <c r="AS105" s="111"/>
      <c r="AT105" s="142"/>
      <c r="AU105" s="142"/>
      <c r="AV105" s="111">
        <v>12.0</v>
      </c>
      <c r="AW105" s="111"/>
      <c r="AX105" s="111"/>
      <c r="AY105" s="111"/>
      <c r="AZ105" s="111"/>
      <c r="BA105" s="111"/>
      <c r="BB105" s="111">
        <v>0.0</v>
      </c>
      <c r="BC105" s="111"/>
      <c r="BD105" s="111">
        <v>0.0</v>
      </c>
      <c r="BE105" s="111">
        <v>0.0</v>
      </c>
      <c r="BF105" s="111"/>
      <c r="BG105" s="111"/>
      <c r="BH105" s="111"/>
      <c r="BI105" s="111"/>
      <c r="BJ105" s="142"/>
      <c r="BK105" s="111"/>
      <c r="BL105" s="111">
        <v>4.0</v>
      </c>
      <c r="BM105" s="111"/>
      <c r="BN105" s="111"/>
      <c r="BO105" s="111"/>
      <c r="BP105" s="111"/>
      <c r="BQ105" s="111"/>
      <c r="BR105" s="111">
        <v>0.0</v>
      </c>
      <c r="BS105" s="111"/>
      <c r="BT105" s="111">
        <v>0.0</v>
      </c>
      <c r="BU105" s="111">
        <v>0.0</v>
      </c>
      <c r="BV105" s="111"/>
      <c r="BW105" s="111"/>
      <c r="BX105" s="111"/>
      <c r="BY105" s="111"/>
      <c r="BZ105" s="142"/>
      <c r="CA105" s="111"/>
      <c r="CB105" s="111">
        <v>4.0</v>
      </c>
      <c r="CC105" s="111"/>
      <c r="CD105" s="111"/>
      <c r="CE105" s="111"/>
      <c r="CF105" s="111"/>
      <c r="CG105" s="111"/>
      <c r="CH105" s="111"/>
      <c r="CI105" s="111"/>
      <c r="CJ105" s="111"/>
      <c r="CK105" s="111"/>
      <c r="CL105" s="111"/>
      <c r="CM105" s="111"/>
      <c r="CN105" s="111"/>
      <c r="CO105" s="111"/>
      <c r="CP105" s="111"/>
      <c r="CQ105" s="111"/>
      <c r="CR105" s="111">
        <v>7974.0</v>
      </c>
      <c r="CS105" s="111">
        <v>0.0</v>
      </c>
      <c r="CT105" s="111">
        <f t="shared" si="14"/>
        <v>79.74</v>
      </c>
      <c r="CU105" s="111"/>
      <c r="CV105" s="111">
        <v>0.0</v>
      </c>
      <c r="CW105" s="111"/>
      <c r="CX105" s="111"/>
      <c r="CY105" s="111"/>
      <c r="CZ105" s="111">
        <v>2920.0</v>
      </c>
      <c r="DA105" s="18">
        <v>95.6</v>
      </c>
      <c r="DB105" s="18">
        <v>3.5</v>
      </c>
      <c r="DC105" s="111">
        <v>2.0</v>
      </c>
      <c r="DD105" s="145">
        <v>0.08</v>
      </c>
      <c r="DE105" s="145">
        <v>2.0</v>
      </c>
      <c r="DF105" s="111">
        <f t="shared" si="15"/>
        <v>36.61901179</v>
      </c>
      <c r="DG105" s="111"/>
      <c r="DH105" s="111"/>
      <c r="DI105" s="111"/>
      <c r="DJ105" s="111"/>
      <c r="DK105" s="111"/>
      <c r="DL105" s="111"/>
      <c r="DM105" s="111">
        <v>5.0</v>
      </c>
      <c r="DN105" s="149">
        <f t="shared" si="17"/>
        <v>136.4</v>
      </c>
      <c r="DO105" s="111">
        <v>0.0</v>
      </c>
      <c r="DP105" s="111"/>
      <c r="DQ105" s="111"/>
      <c r="DR105" s="111"/>
      <c r="DS105" s="111"/>
      <c r="DT105" s="111"/>
      <c r="DU105" s="111"/>
      <c r="DV105" s="111"/>
      <c r="DW105" s="111">
        <v>5970.0</v>
      </c>
      <c r="DX105" s="146">
        <f t="shared" si="16"/>
        <v>2.044520548</v>
      </c>
      <c r="DY105" s="111">
        <v>45.0</v>
      </c>
      <c r="DZ105" s="111"/>
      <c r="EA105" s="111"/>
      <c r="EB105" s="111"/>
      <c r="EC105" s="111"/>
      <c r="ED105" s="111">
        <v>22.0</v>
      </c>
      <c r="EE105" s="111"/>
      <c r="EF105" s="111"/>
      <c r="EG105" s="111"/>
      <c r="EH105" s="111"/>
      <c r="EI105" s="111"/>
      <c r="EJ105" s="111"/>
      <c r="EK105" s="147"/>
      <c r="EL105" s="111"/>
    </row>
    <row r="106" ht="17.25" customHeight="1">
      <c r="A106" s="148">
        <v>46013.0</v>
      </c>
      <c r="B106" s="111">
        <v>0.0</v>
      </c>
      <c r="C106" s="111"/>
      <c r="D106" s="111"/>
      <c r="E106" s="111">
        <v>100.0</v>
      </c>
      <c r="F106" s="111">
        <v>0.0</v>
      </c>
      <c r="G106" s="111">
        <v>0.0</v>
      </c>
      <c r="H106" s="111"/>
      <c r="I106" s="111"/>
      <c r="J106" s="111"/>
      <c r="K106" s="111">
        <v>70.0</v>
      </c>
      <c r="L106" s="111"/>
      <c r="M106" s="111">
        <v>0.0</v>
      </c>
      <c r="N106" s="111">
        <v>0.0</v>
      </c>
      <c r="O106" s="111">
        <v>0.0</v>
      </c>
      <c r="P106" s="111"/>
      <c r="Q106" s="111">
        <v>0.0</v>
      </c>
      <c r="R106" s="111">
        <v>0.0</v>
      </c>
      <c r="S106" s="111"/>
      <c r="T106" s="111">
        <v>0.0</v>
      </c>
      <c r="U106" s="111">
        <v>0.0</v>
      </c>
      <c r="V106" s="111"/>
      <c r="W106" s="111">
        <v>0.0</v>
      </c>
      <c r="X106" s="111">
        <v>0.0</v>
      </c>
      <c r="Y106" s="111"/>
      <c r="Z106" s="111">
        <v>0.0</v>
      </c>
      <c r="AA106" s="111">
        <v>0.0</v>
      </c>
      <c r="AB106" s="111"/>
      <c r="AC106" s="111">
        <v>0.0</v>
      </c>
      <c r="AD106" s="111">
        <v>0.0</v>
      </c>
      <c r="AE106" s="111"/>
      <c r="AF106" s="111">
        <v>0.0</v>
      </c>
      <c r="AG106" s="111">
        <v>0.0</v>
      </c>
      <c r="AH106" s="111"/>
      <c r="AI106" s="111"/>
      <c r="AJ106" s="111"/>
      <c r="AK106" s="111"/>
      <c r="AL106" s="111">
        <v>0.0</v>
      </c>
      <c r="AM106" s="111"/>
      <c r="AN106" s="111">
        <v>0.0</v>
      </c>
      <c r="AO106" s="111">
        <v>0.0</v>
      </c>
      <c r="AP106" s="111">
        <v>0.0</v>
      </c>
      <c r="AQ106" s="111">
        <v>0.0</v>
      </c>
      <c r="AR106" s="111">
        <v>0.0</v>
      </c>
      <c r="AS106" s="111"/>
      <c r="AT106" s="142"/>
      <c r="AU106" s="142"/>
      <c r="AV106" s="111">
        <v>12.0</v>
      </c>
      <c r="AW106" s="111"/>
      <c r="AX106" s="111"/>
      <c r="AY106" s="111"/>
      <c r="AZ106" s="111"/>
      <c r="BA106" s="111"/>
      <c r="BB106" s="111">
        <v>0.0</v>
      </c>
      <c r="BC106" s="111"/>
      <c r="BD106" s="111">
        <v>0.0</v>
      </c>
      <c r="BE106" s="111">
        <v>0.0</v>
      </c>
      <c r="BF106" s="111"/>
      <c r="BG106" s="111"/>
      <c r="BH106" s="111"/>
      <c r="BI106" s="111"/>
      <c r="BJ106" s="142"/>
      <c r="BK106" s="111"/>
      <c r="BL106" s="111">
        <v>4.0</v>
      </c>
      <c r="BM106" s="111"/>
      <c r="BN106" s="111"/>
      <c r="BO106" s="111"/>
      <c r="BP106" s="111"/>
      <c r="BQ106" s="111"/>
      <c r="BR106" s="111">
        <v>0.0</v>
      </c>
      <c r="BS106" s="111"/>
      <c r="BT106" s="111">
        <v>0.0</v>
      </c>
      <c r="BU106" s="111">
        <v>0.0</v>
      </c>
      <c r="BV106" s="111"/>
      <c r="BW106" s="111"/>
      <c r="BX106" s="111"/>
      <c r="BY106" s="111"/>
      <c r="BZ106" s="142"/>
      <c r="CA106" s="111"/>
      <c r="CB106" s="111">
        <v>4.0</v>
      </c>
      <c r="CC106" s="111"/>
      <c r="CD106" s="111"/>
      <c r="CE106" s="111"/>
      <c r="CF106" s="111"/>
      <c r="CG106" s="111"/>
      <c r="CH106" s="111"/>
      <c r="CI106" s="111"/>
      <c r="CJ106" s="111"/>
      <c r="CK106" s="111"/>
      <c r="CL106" s="111"/>
      <c r="CM106" s="111"/>
      <c r="CN106" s="111"/>
      <c r="CO106" s="111"/>
      <c r="CP106" s="111"/>
      <c r="CQ106" s="111"/>
      <c r="CR106" s="111">
        <v>7802.0</v>
      </c>
      <c r="CS106" s="111">
        <v>0.0</v>
      </c>
      <c r="CT106" s="111">
        <f t="shared" si="14"/>
        <v>78.02</v>
      </c>
      <c r="CU106" s="111"/>
      <c r="CV106" s="111">
        <v>0.0</v>
      </c>
      <c r="CW106" s="111"/>
      <c r="CX106" s="111"/>
      <c r="CY106" s="111"/>
      <c r="CZ106" s="111">
        <v>3000.0</v>
      </c>
      <c r="DA106" s="111">
        <v>96.6</v>
      </c>
      <c r="DB106" s="111">
        <v>3.1</v>
      </c>
      <c r="DC106" s="111">
        <v>1.0</v>
      </c>
      <c r="DD106" s="111">
        <v>0.04</v>
      </c>
      <c r="DE106" s="111">
        <v>1.0</v>
      </c>
      <c r="DF106" s="111">
        <f t="shared" si="15"/>
        <v>38.45167906</v>
      </c>
      <c r="DG106" s="111"/>
      <c r="DH106" s="111"/>
      <c r="DI106" s="111"/>
      <c r="DJ106" s="111"/>
      <c r="DK106" s="111"/>
      <c r="DL106" s="111"/>
      <c r="DM106" s="111">
        <v>4.2</v>
      </c>
      <c r="DN106" s="149">
        <f t="shared" si="17"/>
        <v>140.6</v>
      </c>
      <c r="DO106" s="111">
        <v>0.0</v>
      </c>
      <c r="DP106" s="111"/>
      <c r="DQ106" s="111"/>
      <c r="DR106" s="111"/>
      <c r="DS106" s="111"/>
      <c r="DT106" s="111"/>
      <c r="DU106" s="111"/>
      <c r="DV106" s="111"/>
      <c r="DW106" s="111">
        <v>5655.0</v>
      </c>
      <c r="DX106" s="146">
        <f t="shared" si="16"/>
        <v>1.885</v>
      </c>
      <c r="DY106" s="111">
        <v>45.0</v>
      </c>
      <c r="DZ106" s="111"/>
      <c r="EA106" s="111"/>
      <c r="EB106" s="111"/>
      <c r="EC106" s="111"/>
      <c r="ED106" s="111">
        <v>20.55</v>
      </c>
      <c r="EE106" s="111"/>
      <c r="EF106" s="111"/>
      <c r="EG106" s="111"/>
      <c r="EH106" s="111"/>
      <c r="EI106" s="111"/>
      <c r="EJ106" s="111"/>
      <c r="EK106" s="147"/>
      <c r="EL106" s="111"/>
    </row>
    <row r="107" ht="17.25" customHeight="1">
      <c r="A107" s="148">
        <v>46014.0</v>
      </c>
      <c r="B107" s="111">
        <v>0.0</v>
      </c>
      <c r="C107" s="111"/>
      <c r="D107" s="111"/>
      <c r="E107" s="111">
        <v>100.0</v>
      </c>
      <c r="F107" s="111">
        <v>30.01</v>
      </c>
      <c r="G107" s="111">
        <v>70.57</v>
      </c>
      <c r="H107" s="111"/>
      <c r="I107" s="111"/>
      <c r="J107" s="111"/>
      <c r="K107" s="111">
        <v>80.0</v>
      </c>
      <c r="L107" s="111"/>
      <c r="M107" s="111">
        <v>13.72</v>
      </c>
      <c r="N107" s="111">
        <v>70.48</v>
      </c>
      <c r="O107" s="111">
        <v>5.83</v>
      </c>
      <c r="P107" s="111"/>
      <c r="Q107" s="111">
        <v>13.72</v>
      </c>
      <c r="R107" s="111">
        <v>70.48</v>
      </c>
      <c r="S107" s="111"/>
      <c r="T107" s="111">
        <v>9.7</v>
      </c>
      <c r="U107" s="111">
        <v>58.96</v>
      </c>
      <c r="V107" s="111"/>
      <c r="W107" s="111">
        <v>13.72</v>
      </c>
      <c r="X107" s="111">
        <v>70.48</v>
      </c>
      <c r="Y107" s="111"/>
      <c r="Z107" s="111">
        <v>10.39</v>
      </c>
      <c r="AA107" s="111">
        <v>54.09</v>
      </c>
      <c r="AB107" s="111"/>
      <c r="AC107" s="111">
        <v>13.72</v>
      </c>
      <c r="AD107" s="111">
        <v>70.48</v>
      </c>
      <c r="AE107" s="111"/>
      <c r="AF107" s="111">
        <v>9.21</v>
      </c>
      <c r="AG107" s="111">
        <v>53.63</v>
      </c>
      <c r="AH107" s="111"/>
      <c r="AI107" s="111"/>
      <c r="AJ107" s="111"/>
      <c r="AK107" s="111"/>
      <c r="AL107" s="111">
        <v>5.72</v>
      </c>
      <c r="AM107" s="111"/>
      <c r="AN107" s="111">
        <v>6.83</v>
      </c>
      <c r="AO107" s="111">
        <v>34.0</v>
      </c>
      <c r="AP107" s="111">
        <v>0.0</v>
      </c>
      <c r="AQ107" s="111">
        <v>0.0</v>
      </c>
      <c r="AR107" s="111">
        <v>0.0</v>
      </c>
      <c r="AS107" s="111"/>
      <c r="AT107" s="142"/>
      <c r="AU107" s="142"/>
      <c r="AV107" s="111">
        <v>12.0</v>
      </c>
      <c r="AW107" s="111"/>
      <c r="AX107" s="111"/>
      <c r="AY107" s="111"/>
      <c r="AZ107" s="111"/>
      <c r="BA107" s="111"/>
      <c r="BB107" s="111">
        <v>5.62</v>
      </c>
      <c r="BC107" s="111"/>
      <c r="BD107" s="111">
        <v>6.91</v>
      </c>
      <c r="BE107" s="111">
        <v>33.0</v>
      </c>
      <c r="BF107" s="111"/>
      <c r="BG107" s="111"/>
      <c r="BH107" s="111"/>
      <c r="BI107" s="111"/>
      <c r="BJ107" s="142"/>
      <c r="BK107" s="111"/>
      <c r="BL107" s="111">
        <v>4.0</v>
      </c>
      <c r="BM107" s="111"/>
      <c r="BN107" s="111"/>
      <c r="BO107" s="111"/>
      <c r="BP107" s="111"/>
      <c r="BQ107" s="111"/>
      <c r="BR107" s="111">
        <v>4.94</v>
      </c>
      <c r="BS107" s="111"/>
      <c r="BT107" s="111">
        <v>6.9</v>
      </c>
      <c r="BU107" s="111">
        <v>32.0</v>
      </c>
      <c r="BV107" s="111"/>
      <c r="BW107" s="111"/>
      <c r="BX107" s="111"/>
      <c r="BY107" s="111"/>
      <c r="BZ107" s="142"/>
      <c r="CA107" s="111"/>
      <c r="CB107" s="111">
        <v>4.0</v>
      </c>
      <c r="CC107" s="111"/>
      <c r="CD107" s="111"/>
      <c r="CE107" s="111"/>
      <c r="CF107" s="111"/>
      <c r="CG107" s="111"/>
      <c r="CH107" s="111"/>
      <c r="CI107" s="111"/>
      <c r="CJ107" s="111"/>
      <c r="CK107" s="111"/>
      <c r="CL107" s="111"/>
      <c r="CM107" s="111"/>
      <c r="CN107" s="111"/>
      <c r="CO107" s="111"/>
      <c r="CP107" s="111"/>
      <c r="CQ107" s="111"/>
      <c r="CR107" s="111">
        <v>8858.0</v>
      </c>
      <c r="CS107" s="111">
        <v>0.0</v>
      </c>
      <c r="CT107" s="111">
        <f t="shared" si="14"/>
        <v>88.58</v>
      </c>
      <c r="CU107" s="111"/>
      <c r="CV107" s="111">
        <v>42.0</v>
      </c>
      <c r="CW107" s="111"/>
      <c r="CX107" s="111"/>
      <c r="CY107" s="111"/>
      <c r="CZ107" s="111">
        <v>3400.0</v>
      </c>
      <c r="DA107" s="111">
        <v>97.0</v>
      </c>
      <c r="DB107" s="111">
        <v>2.2</v>
      </c>
      <c r="DC107" s="111">
        <v>1.0</v>
      </c>
      <c r="DD107" s="111">
        <v>0.06</v>
      </c>
      <c r="DE107" s="111">
        <v>1.0</v>
      </c>
      <c r="DF107" s="111">
        <f t="shared" si="15"/>
        <v>38.38338225</v>
      </c>
      <c r="DG107" s="111"/>
      <c r="DH107" s="111"/>
      <c r="DI107" s="111"/>
      <c r="DJ107" s="111"/>
      <c r="DK107" s="111"/>
      <c r="DL107" s="111"/>
      <c r="DM107" s="111">
        <v>0.0</v>
      </c>
      <c r="DN107" s="149">
        <f t="shared" si="17"/>
        <v>140.6</v>
      </c>
      <c r="DO107" s="111">
        <v>10.0</v>
      </c>
      <c r="DP107" s="111"/>
      <c r="DQ107" s="111"/>
      <c r="DR107" s="111"/>
      <c r="DS107" s="111"/>
      <c r="DT107" s="111"/>
      <c r="DU107" s="111"/>
      <c r="DV107" s="111"/>
      <c r="DW107" s="111">
        <v>5835.0</v>
      </c>
      <c r="DX107" s="146">
        <f t="shared" si="16"/>
        <v>1.716176471</v>
      </c>
      <c r="DY107" s="111">
        <v>45.0</v>
      </c>
      <c r="DZ107" s="111"/>
      <c r="EA107" s="111"/>
      <c r="EB107" s="111"/>
      <c r="EC107" s="111"/>
      <c r="ED107" s="111">
        <v>21.45</v>
      </c>
      <c r="EE107" s="111"/>
      <c r="EF107" s="111"/>
      <c r="EG107" s="111"/>
      <c r="EH107" s="111"/>
      <c r="EI107" s="111"/>
      <c r="EJ107" s="111"/>
      <c r="EK107" s="147"/>
      <c r="EL107" s="111"/>
    </row>
    <row r="108" ht="17.25" customHeight="1">
      <c r="A108" s="148">
        <v>46015.0</v>
      </c>
      <c r="B108" s="111">
        <v>0.0</v>
      </c>
      <c r="C108" s="111"/>
      <c r="D108" s="111"/>
      <c r="E108" s="111">
        <v>100.0</v>
      </c>
      <c r="F108" s="111">
        <v>30.08</v>
      </c>
      <c r="G108" s="111">
        <v>70.67</v>
      </c>
      <c r="H108" s="111"/>
      <c r="I108" s="111"/>
      <c r="J108" s="111"/>
      <c r="K108" s="111">
        <v>70.0</v>
      </c>
      <c r="L108" s="111"/>
      <c r="M108" s="111">
        <v>12.91</v>
      </c>
      <c r="N108" s="111">
        <v>70.64</v>
      </c>
      <c r="O108" s="111">
        <v>5.95</v>
      </c>
      <c r="P108" s="111"/>
      <c r="Q108" s="111">
        <v>12.91</v>
      </c>
      <c r="R108" s="111">
        <v>70.64</v>
      </c>
      <c r="S108" s="111"/>
      <c r="T108" s="111">
        <v>9.77</v>
      </c>
      <c r="U108" s="111">
        <v>58.85</v>
      </c>
      <c r="V108" s="111"/>
      <c r="W108" s="111">
        <v>12.91</v>
      </c>
      <c r="X108" s="111">
        <v>70.64</v>
      </c>
      <c r="Y108" s="111"/>
      <c r="Z108" s="111">
        <v>9.95</v>
      </c>
      <c r="AA108" s="111">
        <v>56.38</v>
      </c>
      <c r="AB108" s="111"/>
      <c r="AC108" s="111">
        <v>12.91</v>
      </c>
      <c r="AD108" s="111">
        <v>70.64</v>
      </c>
      <c r="AE108" s="111"/>
      <c r="AF108" s="111">
        <v>9.11</v>
      </c>
      <c r="AG108" s="111">
        <v>54.55</v>
      </c>
      <c r="AH108" s="111"/>
      <c r="AI108" s="111"/>
      <c r="AJ108" s="111"/>
      <c r="AK108" s="111"/>
      <c r="AL108" s="111">
        <v>5.75</v>
      </c>
      <c r="AM108" s="111"/>
      <c r="AN108" s="111">
        <v>6.9</v>
      </c>
      <c r="AO108" s="111">
        <v>33.0</v>
      </c>
      <c r="AP108" s="111">
        <v>0.0</v>
      </c>
      <c r="AQ108" s="111">
        <v>0.0</v>
      </c>
      <c r="AR108" s="111">
        <v>0.0</v>
      </c>
      <c r="AS108" s="111"/>
      <c r="AT108" s="142"/>
      <c r="AU108" s="142"/>
      <c r="AV108" s="111">
        <v>12.0</v>
      </c>
      <c r="AW108" s="111"/>
      <c r="AX108" s="111"/>
      <c r="AY108" s="111"/>
      <c r="AZ108" s="111"/>
      <c r="BA108" s="111"/>
      <c r="BB108" s="111">
        <v>5.61</v>
      </c>
      <c r="BC108" s="111"/>
      <c r="BD108" s="111">
        <v>6.9</v>
      </c>
      <c r="BE108" s="111">
        <v>33.0</v>
      </c>
      <c r="BF108" s="111"/>
      <c r="BG108" s="111"/>
      <c r="BH108" s="111"/>
      <c r="BI108" s="111"/>
      <c r="BJ108" s="142"/>
      <c r="BK108" s="111"/>
      <c r="BL108" s="111">
        <v>4.0</v>
      </c>
      <c r="BM108" s="111"/>
      <c r="BN108" s="111"/>
      <c r="BO108" s="111"/>
      <c r="BP108" s="111"/>
      <c r="BQ108" s="111"/>
      <c r="BR108" s="111">
        <v>4.97</v>
      </c>
      <c r="BS108" s="111"/>
      <c r="BT108" s="111">
        <v>6.92</v>
      </c>
      <c r="BU108" s="111">
        <v>32.0</v>
      </c>
      <c r="BV108" s="111"/>
      <c r="BW108" s="111"/>
      <c r="BX108" s="111"/>
      <c r="BY108" s="111"/>
      <c r="BZ108" s="142"/>
      <c r="CA108" s="111"/>
      <c r="CB108" s="111">
        <v>4.0</v>
      </c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>
        <v>8327.0</v>
      </c>
      <c r="CS108" s="111">
        <v>0.0</v>
      </c>
      <c r="CT108" s="111">
        <f t="shared" si="14"/>
        <v>83.27</v>
      </c>
      <c r="CU108" s="111"/>
      <c r="CV108" s="111">
        <v>43.0</v>
      </c>
      <c r="CW108" s="111"/>
      <c r="CX108" s="111"/>
      <c r="CY108" s="111"/>
      <c r="CZ108" s="111">
        <v>2890.0</v>
      </c>
      <c r="DA108" s="111">
        <v>96.4</v>
      </c>
      <c r="DB108" s="111">
        <v>3.1</v>
      </c>
      <c r="DC108" s="111">
        <v>0.0</v>
      </c>
      <c r="DD108" s="111">
        <v>0.06</v>
      </c>
      <c r="DE108" s="111">
        <v>1.0</v>
      </c>
      <c r="DF108" s="111">
        <f t="shared" si="15"/>
        <v>34.70637685</v>
      </c>
      <c r="DG108" s="111"/>
      <c r="DH108" s="111"/>
      <c r="DI108" s="111"/>
      <c r="DJ108" s="111"/>
      <c r="DK108" s="111"/>
      <c r="DL108" s="111"/>
      <c r="DM108" s="111">
        <v>2.8</v>
      </c>
      <c r="DN108" s="149">
        <f t="shared" si="17"/>
        <v>133.4</v>
      </c>
      <c r="DO108" s="111">
        <v>0.0</v>
      </c>
      <c r="DP108" s="111"/>
      <c r="DQ108" s="111"/>
      <c r="DR108" s="111"/>
      <c r="DS108" s="111"/>
      <c r="DT108" s="111"/>
      <c r="DU108" s="111"/>
      <c r="DV108" s="111"/>
      <c r="DW108" s="111">
        <v>6282.0</v>
      </c>
      <c r="DX108" s="146">
        <f t="shared" si="16"/>
        <v>2.173702422</v>
      </c>
      <c r="DY108" s="111">
        <v>45.0</v>
      </c>
      <c r="DZ108" s="111"/>
      <c r="EA108" s="111"/>
      <c r="EB108" s="111"/>
      <c r="EC108" s="111"/>
      <c r="ED108" s="111">
        <v>22.3</v>
      </c>
      <c r="EE108" s="111"/>
      <c r="EF108" s="111"/>
      <c r="EG108" s="111"/>
      <c r="EH108" s="111"/>
      <c r="EI108" s="111"/>
      <c r="EJ108" s="111"/>
      <c r="EK108" s="147"/>
      <c r="EL108" s="111"/>
    </row>
    <row r="109" ht="17.25" customHeight="1">
      <c r="A109" s="148">
        <v>46016.0</v>
      </c>
      <c r="B109" s="111">
        <v>0.0</v>
      </c>
      <c r="C109" s="111"/>
      <c r="D109" s="111"/>
      <c r="E109" s="111">
        <v>100.0</v>
      </c>
      <c r="F109" s="111">
        <v>30.29</v>
      </c>
      <c r="G109" s="111">
        <v>71.93</v>
      </c>
      <c r="H109" s="111"/>
      <c r="I109" s="111"/>
      <c r="J109" s="111"/>
      <c r="K109" s="111">
        <v>80.0</v>
      </c>
      <c r="L109" s="111"/>
      <c r="M109" s="111">
        <v>13.43</v>
      </c>
      <c r="N109" s="111">
        <v>70.73</v>
      </c>
      <c r="O109" s="111">
        <v>5.82</v>
      </c>
      <c r="P109" s="111"/>
      <c r="Q109" s="111">
        <v>13.43</v>
      </c>
      <c r="R109" s="111">
        <v>70.73</v>
      </c>
      <c r="S109" s="111"/>
      <c r="T109" s="111">
        <v>9.84</v>
      </c>
      <c r="U109" s="111">
        <v>59.34</v>
      </c>
      <c r="V109" s="111"/>
      <c r="W109" s="111">
        <v>13.43</v>
      </c>
      <c r="X109" s="111">
        <v>70.73</v>
      </c>
      <c r="Y109" s="111"/>
      <c r="Z109" s="111">
        <v>9.76</v>
      </c>
      <c r="AA109" s="111">
        <v>56.76</v>
      </c>
      <c r="AB109" s="111"/>
      <c r="AC109" s="111">
        <v>13.43</v>
      </c>
      <c r="AD109" s="111">
        <v>70.73</v>
      </c>
      <c r="AE109" s="111"/>
      <c r="AF109" s="111">
        <v>9.16</v>
      </c>
      <c r="AG109" s="111">
        <v>54.91</v>
      </c>
      <c r="AH109" s="111"/>
      <c r="AI109" s="111"/>
      <c r="AJ109" s="111"/>
      <c r="AK109" s="111"/>
      <c r="AL109" s="111">
        <v>5.84</v>
      </c>
      <c r="AM109" s="111"/>
      <c r="AN109" s="111">
        <v>6.93</v>
      </c>
      <c r="AO109" s="111">
        <v>34.0</v>
      </c>
      <c r="AP109" s="111">
        <v>0.0</v>
      </c>
      <c r="AQ109" s="111">
        <v>0.0</v>
      </c>
      <c r="AR109" s="111">
        <v>0.0</v>
      </c>
      <c r="AS109" s="111"/>
      <c r="AT109" s="142"/>
      <c r="AU109" s="142"/>
      <c r="AV109" s="111">
        <v>12.0</v>
      </c>
      <c r="AW109" s="111"/>
      <c r="AX109" s="111"/>
      <c r="AY109" s="111"/>
      <c r="AZ109" s="111"/>
      <c r="BA109" s="111"/>
      <c r="BB109" s="111">
        <v>5.54</v>
      </c>
      <c r="BC109" s="111"/>
      <c r="BD109" s="111">
        <v>6.91</v>
      </c>
      <c r="BE109" s="111">
        <v>33.0</v>
      </c>
      <c r="BF109" s="111"/>
      <c r="BG109" s="111"/>
      <c r="BH109" s="111"/>
      <c r="BI109" s="111"/>
      <c r="BJ109" s="142"/>
      <c r="BK109" s="111"/>
      <c r="BL109" s="111">
        <v>4.0</v>
      </c>
      <c r="BM109" s="111"/>
      <c r="BN109" s="111"/>
      <c r="BO109" s="111"/>
      <c r="BP109" s="111"/>
      <c r="BQ109" s="111"/>
      <c r="BR109" s="111">
        <v>5.03</v>
      </c>
      <c r="BS109" s="111"/>
      <c r="BT109" s="111">
        <v>6.94</v>
      </c>
      <c r="BU109" s="111">
        <v>32.0</v>
      </c>
      <c r="BV109" s="111"/>
      <c r="BW109" s="111"/>
      <c r="BX109" s="111"/>
      <c r="BY109" s="111"/>
      <c r="BZ109" s="142"/>
      <c r="CA109" s="111"/>
      <c r="CB109" s="111">
        <v>4.0</v>
      </c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>
        <v>7907.0</v>
      </c>
      <c r="CS109" s="111">
        <v>0.0</v>
      </c>
      <c r="CT109" s="111">
        <f t="shared" si="14"/>
        <v>79.07</v>
      </c>
      <c r="CU109" s="111"/>
      <c r="CV109" s="111">
        <v>44.0</v>
      </c>
      <c r="CW109" s="111"/>
      <c r="CX109" s="111"/>
      <c r="CY109" s="111"/>
      <c r="CZ109" s="111">
        <v>2940.0</v>
      </c>
      <c r="DA109" s="111">
        <v>96.8</v>
      </c>
      <c r="DB109" s="111">
        <v>2.4</v>
      </c>
      <c r="DC109" s="111">
        <v>1.0</v>
      </c>
      <c r="DD109" s="111">
        <v>0.07</v>
      </c>
      <c r="DE109" s="111">
        <v>1.0</v>
      </c>
      <c r="DF109" s="111">
        <f t="shared" si="15"/>
        <v>37.18224358</v>
      </c>
      <c r="DG109" s="111"/>
      <c r="DH109" s="111"/>
      <c r="DI109" s="111"/>
      <c r="DJ109" s="111"/>
      <c r="DK109" s="111"/>
      <c r="DL109" s="111"/>
      <c r="DM109" s="111">
        <v>0.0</v>
      </c>
      <c r="DN109" s="149">
        <f t="shared" si="17"/>
        <v>133.4</v>
      </c>
      <c r="DO109" s="111">
        <v>9.0</v>
      </c>
      <c r="DP109" s="111"/>
      <c r="DQ109" s="111"/>
      <c r="DR109" s="111"/>
      <c r="DS109" s="111"/>
      <c r="DT109" s="111"/>
      <c r="DU109" s="111"/>
      <c r="DV109" s="111"/>
      <c r="DW109" s="111">
        <v>6437.0</v>
      </c>
      <c r="DX109" s="146">
        <f t="shared" si="16"/>
        <v>2.189455782</v>
      </c>
      <c r="DY109" s="111">
        <v>45.0</v>
      </c>
      <c r="DZ109" s="111"/>
      <c r="EA109" s="111"/>
      <c r="EB109" s="111"/>
      <c r="EC109" s="111"/>
      <c r="ED109" s="111">
        <v>22.0</v>
      </c>
      <c r="EE109" s="111"/>
      <c r="EF109" s="111"/>
      <c r="EG109" s="111"/>
      <c r="EH109" s="111"/>
      <c r="EI109" s="111"/>
      <c r="EJ109" s="111"/>
      <c r="EK109" s="147"/>
      <c r="EL109" s="111"/>
    </row>
    <row r="110" ht="17.25" customHeight="1">
      <c r="A110" s="148">
        <v>46017.0</v>
      </c>
      <c r="B110" s="111">
        <v>0.0</v>
      </c>
      <c r="C110" s="111"/>
      <c r="D110" s="111"/>
      <c r="E110" s="111">
        <v>100.0</v>
      </c>
      <c r="F110" s="111">
        <v>34.67</v>
      </c>
      <c r="G110" s="111">
        <v>61.46</v>
      </c>
      <c r="H110" s="111"/>
      <c r="I110" s="111"/>
      <c r="J110" s="111"/>
      <c r="K110" s="111">
        <v>80.0</v>
      </c>
      <c r="L110" s="111"/>
      <c r="M110" s="111">
        <v>13.61</v>
      </c>
      <c r="N110" s="111">
        <v>71.56</v>
      </c>
      <c r="O110" s="111">
        <v>5.77</v>
      </c>
      <c r="P110" s="111"/>
      <c r="Q110" s="111">
        <v>13.61</v>
      </c>
      <c r="R110" s="111">
        <v>9.74</v>
      </c>
      <c r="S110" s="111"/>
      <c r="T110" s="111">
        <v>10.79</v>
      </c>
      <c r="U110" s="111">
        <v>62.18</v>
      </c>
      <c r="V110" s="111"/>
      <c r="W110" s="111">
        <v>13.61</v>
      </c>
      <c r="X110" s="111">
        <v>9.74</v>
      </c>
      <c r="Y110" s="111"/>
      <c r="Z110" s="111">
        <v>9.81</v>
      </c>
      <c r="AA110" s="111">
        <v>57.08</v>
      </c>
      <c r="AB110" s="111"/>
      <c r="AC110" s="111">
        <v>13.61</v>
      </c>
      <c r="AD110" s="111">
        <v>9.74</v>
      </c>
      <c r="AE110" s="111"/>
      <c r="AF110" s="111">
        <v>9.21</v>
      </c>
      <c r="AG110" s="111">
        <v>53.09</v>
      </c>
      <c r="AH110" s="111"/>
      <c r="AI110" s="111"/>
      <c r="AJ110" s="111"/>
      <c r="AK110" s="111"/>
      <c r="AL110" s="111">
        <v>6.71</v>
      </c>
      <c r="AM110" s="111"/>
      <c r="AN110" s="111">
        <v>6.88</v>
      </c>
      <c r="AO110" s="111">
        <v>34.0</v>
      </c>
      <c r="AP110" s="111">
        <v>0.0</v>
      </c>
      <c r="AQ110" s="111">
        <v>0.0</v>
      </c>
      <c r="AR110" s="111">
        <v>0.0</v>
      </c>
      <c r="AS110" s="111"/>
      <c r="AT110" s="142"/>
      <c r="AU110" s="142"/>
      <c r="AV110" s="111">
        <v>12.0</v>
      </c>
      <c r="AW110" s="111"/>
      <c r="AX110" s="111"/>
      <c r="AY110" s="111"/>
      <c r="AZ110" s="111"/>
      <c r="BA110" s="111"/>
      <c r="BB110" s="111">
        <v>5.6</v>
      </c>
      <c r="BC110" s="111"/>
      <c r="BD110" s="111">
        <v>6.9</v>
      </c>
      <c r="BE110" s="111">
        <v>33.0</v>
      </c>
      <c r="BF110" s="111"/>
      <c r="BG110" s="111"/>
      <c r="BH110" s="111"/>
      <c r="BI110" s="111"/>
      <c r="BJ110" s="142"/>
      <c r="BK110" s="111"/>
      <c r="BL110" s="111">
        <v>4.0</v>
      </c>
      <c r="BM110" s="111"/>
      <c r="BN110" s="111"/>
      <c r="BO110" s="111"/>
      <c r="BP110" s="111"/>
      <c r="BQ110" s="111"/>
      <c r="BR110" s="111">
        <v>4.89</v>
      </c>
      <c r="BS110" s="111"/>
      <c r="BT110" s="111">
        <v>6.91</v>
      </c>
      <c r="BU110" s="111">
        <v>32.0</v>
      </c>
      <c r="BV110" s="111"/>
      <c r="BW110" s="111"/>
      <c r="BX110" s="111"/>
      <c r="BY110" s="111"/>
      <c r="BZ110" s="142"/>
      <c r="CA110" s="111"/>
      <c r="CB110" s="111">
        <v>4.0</v>
      </c>
      <c r="CC110" s="111"/>
      <c r="CD110" s="111"/>
      <c r="CE110" s="111"/>
      <c r="CF110" s="111"/>
      <c r="CG110" s="111"/>
      <c r="CH110" s="111"/>
      <c r="CI110" s="111"/>
      <c r="CJ110" s="111"/>
      <c r="CK110" s="111"/>
      <c r="CL110" s="111"/>
      <c r="CM110" s="111"/>
      <c r="CN110" s="111"/>
      <c r="CO110" s="111"/>
      <c r="CP110" s="111"/>
      <c r="CQ110" s="111"/>
      <c r="CR110" s="111">
        <v>8438.0</v>
      </c>
      <c r="CS110" s="111">
        <v>0.0</v>
      </c>
      <c r="CT110" s="111">
        <f t="shared" si="14"/>
        <v>84.38</v>
      </c>
      <c r="CU110" s="111"/>
      <c r="CV110" s="111">
        <v>44.0</v>
      </c>
      <c r="CW110" s="111"/>
      <c r="CX110" s="111"/>
      <c r="CY110" s="111"/>
      <c r="CZ110" s="111">
        <v>3150.0</v>
      </c>
      <c r="DA110" s="111">
        <v>95.449</v>
      </c>
      <c r="DB110" s="111">
        <v>3.255</v>
      </c>
      <c r="DC110" s="111">
        <v>2.0</v>
      </c>
      <c r="DD110" s="111">
        <v>0.1</v>
      </c>
      <c r="DE110" s="111">
        <v>1.1</v>
      </c>
      <c r="DF110" s="111">
        <f t="shared" si="15"/>
        <v>37.33112112</v>
      </c>
      <c r="DG110" s="111"/>
      <c r="DH110" s="111"/>
      <c r="DI110" s="111"/>
      <c r="DJ110" s="111"/>
      <c r="DK110" s="111"/>
      <c r="DL110" s="111"/>
      <c r="DM110" s="111">
        <v>0.0</v>
      </c>
      <c r="DN110" s="149">
        <f t="shared" si="17"/>
        <v>124.4</v>
      </c>
      <c r="DO110" s="111">
        <v>10.0</v>
      </c>
      <c r="DP110" s="111"/>
      <c r="DQ110" s="111"/>
      <c r="DR110" s="111"/>
      <c r="DS110" s="155"/>
      <c r="DT110" s="111"/>
      <c r="DU110" s="111"/>
      <c r="DV110" s="111"/>
      <c r="DW110" s="111">
        <v>6105.0</v>
      </c>
      <c r="DX110" s="146">
        <f t="shared" si="16"/>
        <v>1.938095238</v>
      </c>
      <c r="DY110" s="111">
        <v>45.0</v>
      </c>
      <c r="DZ110" s="111"/>
      <c r="EA110" s="111"/>
      <c r="EB110" s="111"/>
      <c r="EC110" s="111"/>
      <c r="ED110" s="111">
        <v>23.0</v>
      </c>
      <c r="EE110" s="111"/>
      <c r="EF110" s="111"/>
      <c r="EG110" s="111"/>
      <c r="EH110" s="111"/>
      <c r="EI110" s="111"/>
      <c r="EJ110" s="111"/>
      <c r="EK110" s="147"/>
      <c r="EL110" s="111"/>
    </row>
    <row r="111" ht="17.25" customHeight="1">
      <c r="A111" s="148">
        <v>46018.0</v>
      </c>
      <c r="B111" s="111">
        <v>0.0</v>
      </c>
      <c r="C111" s="111"/>
      <c r="D111" s="111"/>
      <c r="E111" s="111">
        <v>100.0</v>
      </c>
      <c r="F111" s="111">
        <v>31.03</v>
      </c>
      <c r="G111" s="111">
        <v>71.8</v>
      </c>
      <c r="H111" s="111"/>
      <c r="I111" s="111"/>
      <c r="J111" s="111"/>
      <c r="K111" s="111">
        <v>66.0</v>
      </c>
      <c r="L111" s="111"/>
      <c r="M111" s="111">
        <v>13.68</v>
      </c>
      <c r="N111" s="111">
        <v>69.22</v>
      </c>
      <c r="O111" s="111">
        <v>5.89</v>
      </c>
      <c r="P111" s="111"/>
      <c r="Q111" s="111">
        <v>13.68</v>
      </c>
      <c r="R111" s="111">
        <v>69.22</v>
      </c>
      <c r="S111" s="111"/>
      <c r="T111" s="111">
        <v>9.74</v>
      </c>
      <c r="U111" s="111">
        <v>58.31</v>
      </c>
      <c r="V111" s="111"/>
      <c r="W111" s="111">
        <v>13.68</v>
      </c>
      <c r="X111" s="111">
        <v>69.22</v>
      </c>
      <c r="Y111" s="111"/>
      <c r="Z111" s="111">
        <v>10.01</v>
      </c>
      <c r="AA111" s="111">
        <v>54.84</v>
      </c>
      <c r="AB111" s="111"/>
      <c r="AC111" s="111">
        <v>13.68</v>
      </c>
      <c r="AD111" s="111">
        <v>69.22</v>
      </c>
      <c r="AE111" s="111"/>
      <c r="AF111" s="111">
        <v>9.18</v>
      </c>
      <c r="AG111" s="111">
        <v>54.35</v>
      </c>
      <c r="AH111" s="111"/>
      <c r="AI111" s="111"/>
      <c r="AJ111" s="111"/>
      <c r="AK111" s="111"/>
      <c r="AL111" s="111">
        <v>5.68</v>
      </c>
      <c r="AM111" s="111"/>
      <c r="AN111" s="111">
        <v>6.85</v>
      </c>
      <c r="AO111" s="111">
        <v>34.0</v>
      </c>
      <c r="AP111" s="111">
        <v>0.0</v>
      </c>
      <c r="AQ111" s="111">
        <v>0.0</v>
      </c>
      <c r="AR111" s="111">
        <v>0.0</v>
      </c>
      <c r="AS111" s="111"/>
      <c r="AT111" s="142"/>
      <c r="AU111" s="142"/>
      <c r="AV111" s="111">
        <v>12.0</v>
      </c>
      <c r="AW111" s="111"/>
      <c r="AX111" s="111"/>
      <c r="AY111" s="111"/>
      <c r="AZ111" s="111"/>
      <c r="BA111" s="111"/>
      <c r="BB111" s="111">
        <v>5.49</v>
      </c>
      <c r="BC111" s="111"/>
      <c r="BD111" s="111">
        <v>6.83</v>
      </c>
      <c r="BE111" s="111">
        <v>33.0</v>
      </c>
      <c r="BF111" s="111"/>
      <c r="BG111" s="111"/>
      <c r="BH111" s="111"/>
      <c r="BI111" s="111"/>
      <c r="BJ111" s="142"/>
      <c r="BK111" s="111"/>
      <c r="BL111" s="111">
        <v>4.0</v>
      </c>
      <c r="BM111" s="111"/>
      <c r="BN111" s="111"/>
      <c r="BO111" s="111"/>
      <c r="BP111" s="111"/>
      <c r="BQ111" s="111"/>
      <c r="BR111" s="111">
        <v>4.99</v>
      </c>
      <c r="BS111" s="111"/>
      <c r="BT111" s="111">
        <v>6.94</v>
      </c>
      <c r="BU111" s="111">
        <v>32.0</v>
      </c>
      <c r="BV111" s="111"/>
      <c r="BW111" s="111"/>
      <c r="BX111" s="111"/>
      <c r="BY111" s="111"/>
      <c r="BZ111" s="142"/>
      <c r="CA111" s="111"/>
      <c r="CB111" s="111">
        <v>4.0</v>
      </c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>
        <v>6768.0</v>
      </c>
      <c r="CS111" s="111">
        <v>0.0</v>
      </c>
      <c r="CT111" s="111">
        <f t="shared" si="14"/>
        <v>67.68</v>
      </c>
      <c r="CU111" s="111"/>
      <c r="CV111" s="111">
        <v>42.0</v>
      </c>
      <c r="CW111" s="111"/>
      <c r="CX111" s="111"/>
      <c r="CY111" s="111"/>
      <c r="CZ111" s="111">
        <v>2671.0</v>
      </c>
      <c r="DA111" s="18">
        <v>95.6</v>
      </c>
      <c r="DB111" s="18">
        <v>3.5</v>
      </c>
      <c r="DC111" s="111">
        <v>2.0</v>
      </c>
      <c r="DD111" s="145">
        <v>0.08</v>
      </c>
      <c r="DE111" s="145">
        <v>2.0</v>
      </c>
      <c r="DF111" s="111">
        <f t="shared" si="15"/>
        <v>39.46513002</v>
      </c>
      <c r="DG111" s="111"/>
      <c r="DH111" s="111"/>
      <c r="DI111" s="111"/>
      <c r="DJ111" s="111"/>
      <c r="DK111" s="111"/>
      <c r="DL111" s="111"/>
      <c r="DM111" s="111">
        <v>0.0</v>
      </c>
      <c r="DN111" s="149">
        <f t="shared" si="17"/>
        <v>114.4</v>
      </c>
      <c r="DO111" s="111">
        <v>0.0</v>
      </c>
      <c r="DP111" s="111"/>
      <c r="DQ111" s="111"/>
      <c r="DR111" s="111"/>
      <c r="DS111" s="111"/>
      <c r="DT111" s="111"/>
      <c r="DU111" s="111"/>
      <c r="DV111" s="111"/>
      <c r="DW111" s="111">
        <v>5806.0</v>
      </c>
      <c r="DX111" s="146">
        <f t="shared" si="16"/>
        <v>2.173717709</v>
      </c>
      <c r="DY111" s="111">
        <v>45.0</v>
      </c>
      <c r="DZ111" s="111"/>
      <c r="EA111" s="111"/>
      <c r="EB111" s="111"/>
      <c r="EC111" s="111"/>
      <c r="ED111" s="111">
        <v>19.35</v>
      </c>
      <c r="EE111" s="111"/>
      <c r="EF111" s="111"/>
      <c r="EG111" s="111"/>
      <c r="EH111" s="111"/>
      <c r="EI111" s="111"/>
      <c r="EJ111" s="111"/>
      <c r="EK111" s="147"/>
      <c r="EL111" s="111"/>
    </row>
    <row r="112" ht="17.25" customHeight="1">
      <c r="A112" s="148">
        <v>46019.0</v>
      </c>
      <c r="B112" s="111">
        <v>0.0</v>
      </c>
      <c r="C112" s="111"/>
      <c r="D112" s="111"/>
      <c r="E112" s="111">
        <v>100.0</v>
      </c>
      <c r="F112" s="111">
        <v>0.0</v>
      </c>
      <c r="G112" s="111">
        <v>0.0</v>
      </c>
      <c r="H112" s="111"/>
      <c r="I112" s="111"/>
      <c r="J112" s="111"/>
      <c r="K112" s="111">
        <v>70.0</v>
      </c>
      <c r="L112" s="111"/>
      <c r="M112" s="111">
        <v>0.0</v>
      </c>
      <c r="N112" s="111">
        <v>0.0</v>
      </c>
      <c r="O112" s="111">
        <v>0.0</v>
      </c>
      <c r="P112" s="111"/>
      <c r="Q112" s="111">
        <v>0.0</v>
      </c>
      <c r="R112" s="111">
        <v>0.0</v>
      </c>
      <c r="S112" s="111"/>
      <c r="T112" s="111">
        <v>0.0</v>
      </c>
      <c r="U112" s="111">
        <v>0.0</v>
      </c>
      <c r="V112" s="111"/>
      <c r="W112" s="111">
        <v>0.0</v>
      </c>
      <c r="X112" s="111">
        <v>0.0</v>
      </c>
      <c r="Y112" s="111"/>
      <c r="Z112" s="111">
        <v>0.0</v>
      </c>
      <c r="AA112" s="111">
        <v>0.0</v>
      </c>
      <c r="AB112" s="111"/>
      <c r="AC112" s="111">
        <v>0.0</v>
      </c>
      <c r="AD112" s="111">
        <v>0.0</v>
      </c>
      <c r="AE112" s="111"/>
      <c r="AF112" s="111">
        <v>0.0</v>
      </c>
      <c r="AG112" s="111">
        <v>0.0</v>
      </c>
      <c r="AH112" s="111"/>
      <c r="AI112" s="111"/>
      <c r="AJ112" s="111"/>
      <c r="AK112" s="111"/>
      <c r="AL112" s="111">
        <v>0.0</v>
      </c>
      <c r="AM112" s="111"/>
      <c r="AN112" s="111">
        <v>0.0</v>
      </c>
      <c r="AO112" s="111">
        <v>0.0</v>
      </c>
      <c r="AP112" s="111">
        <v>0.0</v>
      </c>
      <c r="AQ112" s="111">
        <v>0.0</v>
      </c>
      <c r="AR112" s="111">
        <v>0.0</v>
      </c>
      <c r="AS112" s="111"/>
      <c r="AT112" s="142"/>
      <c r="AU112" s="142"/>
      <c r="AV112" s="111">
        <v>12.0</v>
      </c>
      <c r="AW112" s="111"/>
      <c r="AX112" s="111"/>
      <c r="AY112" s="111"/>
      <c r="AZ112" s="111"/>
      <c r="BA112" s="111"/>
      <c r="BB112" s="111">
        <v>0.0</v>
      </c>
      <c r="BC112" s="111"/>
      <c r="BD112" s="111">
        <v>0.0</v>
      </c>
      <c r="BE112" s="111">
        <v>0.0</v>
      </c>
      <c r="BF112" s="111"/>
      <c r="BG112" s="111"/>
      <c r="BH112" s="111"/>
      <c r="BI112" s="111"/>
      <c r="BJ112" s="142"/>
      <c r="BK112" s="111"/>
      <c r="BL112" s="111">
        <v>4.0</v>
      </c>
      <c r="BM112" s="111"/>
      <c r="BN112" s="111"/>
      <c r="BO112" s="111"/>
      <c r="BP112" s="111"/>
      <c r="BQ112" s="111"/>
      <c r="BR112" s="111">
        <v>0.0</v>
      </c>
      <c r="BS112" s="111"/>
      <c r="BT112" s="111">
        <v>0.0</v>
      </c>
      <c r="BU112" s="111">
        <v>0.0</v>
      </c>
      <c r="BV112" s="111"/>
      <c r="BW112" s="111"/>
      <c r="BX112" s="111"/>
      <c r="BY112" s="111"/>
      <c r="BZ112" s="142"/>
      <c r="CA112" s="111"/>
      <c r="CB112" s="111">
        <v>4.0</v>
      </c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>
        <v>8490.0</v>
      </c>
      <c r="CS112" s="111">
        <v>0.0</v>
      </c>
      <c r="CT112" s="111">
        <f t="shared" si="14"/>
        <v>84.9</v>
      </c>
      <c r="CU112" s="111"/>
      <c r="CV112" s="111">
        <v>0.0</v>
      </c>
      <c r="CW112" s="111"/>
      <c r="CX112" s="111"/>
      <c r="CY112" s="111"/>
      <c r="CZ112" s="111">
        <v>3167.0</v>
      </c>
      <c r="DA112" s="111">
        <v>96.4</v>
      </c>
      <c r="DB112" s="111">
        <v>2.1</v>
      </c>
      <c r="DC112" s="111">
        <v>2.0</v>
      </c>
      <c r="DD112" s="111">
        <v>0.08</v>
      </c>
      <c r="DE112" s="111">
        <v>2.0</v>
      </c>
      <c r="DF112" s="111">
        <f t="shared" si="15"/>
        <v>37.30270907</v>
      </c>
      <c r="DG112" s="111"/>
      <c r="DH112" s="111"/>
      <c r="DI112" s="111"/>
      <c r="DJ112" s="111"/>
      <c r="DK112" s="111"/>
      <c r="DL112" s="111"/>
      <c r="DM112" s="111">
        <v>6.0</v>
      </c>
      <c r="DN112" s="149">
        <f t="shared" si="17"/>
        <v>120.4</v>
      </c>
      <c r="DO112" s="111">
        <v>0.0</v>
      </c>
      <c r="DP112" s="111"/>
      <c r="DQ112" s="111"/>
      <c r="DR112" s="111"/>
      <c r="DS112" s="111"/>
      <c r="DT112" s="111"/>
      <c r="DU112" s="111"/>
      <c r="DV112" s="111"/>
      <c r="DW112" s="111">
        <v>6510.0</v>
      </c>
      <c r="DX112" s="146">
        <f t="shared" si="16"/>
        <v>2.055573098</v>
      </c>
      <c r="DY112" s="111">
        <v>45.0</v>
      </c>
      <c r="DZ112" s="111"/>
      <c r="EA112" s="111"/>
      <c r="EB112" s="111"/>
      <c r="EC112" s="111"/>
      <c r="ED112" s="111">
        <v>22.15</v>
      </c>
      <c r="EE112" s="111"/>
      <c r="EF112" s="111"/>
      <c r="EG112" s="111"/>
      <c r="EH112" s="111"/>
      <c r="EI112" s="111"/>
      <c r="EJ112" s="111"/>
      <c r="EK112" s="147"/>
      <c r="EL112" s="111"/>
    </row>
    <row r="113" ht="17.25" customHeight="1">
      <c r="A113" s="148">
        <v>46020.0</v>
      </c>
      <c r="B113" s="111">
        <v>0.0</v>
      </c>
      <c r="C113" s="111"/>
      <c r="D113" s="111"/>
      <c r="E113" s="111">
        <v>100.0</v>
      </c>
      <c r="F113" s="111">
        <v>29.36</v>
      </c>
      <c r="G113" s="111">
        <v>80.65</v>
      </c>
      <c r="H113" s="111"/>
      <c r="I113" s="111"/>
      <c r="J113" s="111"/>
      <c r="K113" s="111">
        <v>78.0</v>
      </c>
      <c r="L113" s="111"/>
      <c r="M113" s="111">
        <v>13.06</v>
      </c>
      <c r="N113" s="111">
        <v>70.67</v>
      </c>
      <c r="O113" s="111">
        <v>5.77</v>
      </c>
      <c r="P113" s="111"/>
      <c r="Q113" s="111">
        <v>13.06</v>
      </c>
      <c r="R113" s="111">
        <v>70.67</v>
      </c>
      <c r="S113" s="111"/>
      <c r="T113" s="111">
        <v>9.98</v>
      </c>
      <c r="U113" s="111">
        <v>60.02</v>
      </c>
      <c r="V113" s="111"/>
      <c r="W113" s="111">
        <v>13.06</v>
      </c>
      <c r="X113" s="111">
        <v>70.67</v>
      </c>
      <c r="Y113" s="111"/>
      <c r="Z113" s="111">
        <v>10.27</v>
      </c>
      <c r="AA113" s="111">
        <v>57.44</v>
      </c>
      <c r="AB113" s="111"/>
      <c r="AC113" s="111">
        <v>13.06</v>
      </c>
      <c r="AD113" s="111">
        <v>70.67</v>
      </c>
      <c r="AE113" s="111"/>
      <c r="AF113" s="111">
        <v>9.4</v>
      </c>
      <c r="AG113" s="111">
        <v>56.7</v>
      </c>
      <c r="AH113" s="111"/>
      <c r="AI113" s="111"/>
      <c r="AJ113" s="111"/>
      <c r="AK113" s="111"/>
      <c r="AL113" s="111">
        <v>5.99</v>
      </c>
      <c r="AM113" s="111"/>
      <c r="AN113" s="111">
        <v>6.83</v>
      </c>
      <c r="AO113" s="111">
        <v>34.5</v>
      </c>
      <c r="AP113" s="111">
        <v>0.0</v>
      </c>
      <c r="AQ113" s="111">
        <v>0.0</v>
      </c>
      <c r="AR113" s="111">
        <v>0.0</v>
      </c>
      <c r="AS113" s="111"/>
      <c r="AT113" s="142"/>
      <c r="AU113" s="142"/>
      <c r="AV113" s="111">
        <v>12.0</v>
      </c>
      <c r="AW113" s="111"/>
      <c r="AX113" s="111"/>
      <c r="AY113" s="111"/>
      <c r="AZ113" s="111"/>
      <c r="BA113" s="111"/>
      <c r="BB113" s="111">
        <v>5.9</v>
      </c>
      <c r="BC113" s="111"/>
      <c r="BD113" s="111">
        <v>6.81</v>
      </c>
      <c r="BE113" s="111">
        <v>33.0</v>
      </c>
      <c r="BF113" s="111"/>
      <c r="BG113" s="111"/>
      <c r="BH113" s="111"/>
      <c r="BI113" s="111"/>
      <c r="BJ113" s="142"/>
      <c r="BK113" s="111"/>
      <c r="BL113" s="111">
        <v>4.0</v>
      </c>
      <c r="BM113" s="111"/>
      <c r="BN113" s="111"/>
      <c r="BO113" s="111"/>
      <c r="BP113" s="111"/>
      <c r="BQ113" s="111"/>
      <c r="BR113" s="111">
        <v>5.33</v>
      </c>
      <c r="BS113" s="111"/>
      <c r="BT113" s="111">
        <v>6.89</v>
      </c>
      <c r="BU113" s="111">
        <v>32.5</v>
      </c>
      <c r="BV113" s="111"/>
      <c r="BW113" s="111"/>
      <c r="BX113" s="111"/>
      <c r="BY113" s="111"/>
      <c r="BZ113" s="142"/>
      <c r="CA113" s="111"/>
      <c r="CB113" s="111">
        <v>4.0</v>
      </c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>
        <v>8315.0</v>
      </c>
      <c r="CS113" s="111">
        <v>0.0</v>
      </c>
      <c r="CT113" s="111">
        <f t="shared" si="14"/>
        <v>83.15</v>
      </c>
      <c r="CU113" s="111"/>
      <c r="CV113" s="111">
        <v>44.0</v>
      </c>
      <c r="CW113" s="111"/>
      <c r="CX113" s="111"/>
      <c r="CY113" s="111"/>
      <c r="CZ113" s="111">
        <v>3176.0</v>
      </c>
      <c r="DA113" s="111">
        <v>97.1</v>
      </c>
      <c r="DB113" s="111">
        <v>2.8</v>
      </c>
      <c r="DC113" s="111">
        <v>1.0</v>
      </c>
      <c r="DD113" s="111">
        <v>0.08</v>
      </c>
      <c r="DE113" s="111">
        <v>2.0</v>
      </c>
      <c r="DF113" s="111">
        <f t="shared" si="15"/>
        <v>38.19603127</v>
      </c>
      <c r="DG113" s="111"/>
      <c r="DH113" s="111"/>
      <c r="DI113" s="111"/>
      <c r="DJ113" s="111"/>
      <c r="DK113" s="111"/>
      <c r="DL113" s="111"/>
      <c r="DM113" s="111">
        <v>9.0</v>
      </c>
      <c r="DN113" s="149">
        <f t="shared" si="17"/>
        <v>129.4</v>
      </c>
      <c r="DO113" s="111">
        <v>0.0</v>
      </c>
      <c r="DP113" s="111"/>
      <c r="DQ113" s="111"/>
      <c r="DR113" s="111"/>
      <c r="DS113" s="111"/>
      <c r="DT113" s="111"/>
      <c r="DU113" s="111"/>
      <c r="DV113" s="111"/>
      <c r="DW113" s="111">
        <v>6240.0</v>
      </c>
      <c r="DX113" s="146">
        <f t="shared" si="16"/>
        <v>1.964735516</v>
      </c>
      <c r="DY113" s="111">
        <v>45.0</v>
      </c>
      <c r="DZ113" s="111"/>
      <c r="EA113" s="111"/>
      <c r="EB113" s="111"/>
      <c r="EC113" s="111"/>
      <c r="ED113" s="111">
        <v>19.5</v>
      </c>
      <c r="EE113" s="111"/>
      <c r="EF113" s="111"/>
      <c r="EG113" s="111"/>
      <c r="EH113" s="111"/>
      <c r="EI113" s="111"/>
      <c r="EJ113" s="111"/>
      <c r="EK113" s="147"/>
      <c r="EL113" s="111"/>
    </row>
    <row r="114" ht="17.25" customHeight="1">
      <c r="A114" s="148">
        <v>46021.0</v>
      </c>
      <c r="B114" s="111">
        <v>0.0</v>
      </c>
      <c r="C114" s="111"/>
      <c r="D114" s="111"/>
      <c r="E114" s="111">
        <v>100.0</v>
      </c>
      <c r="F114" s="111">
        <v>30.28</v>
      </c>
      <c r="G114" s="111">
        <v>72.29</v>
      </c>
      <c r="H114" s="111"/>
      <c r="I114" s="111"/>
      <c r="J114" s="111"/>
      <c r="K114" s="111">
        <v>78.0</v>
      </c>
      <c r="L114" s="111"/>
      <c r="M114" s="111">
        <v>13.11</v>
      </c>
      <c r="N114" s="111">
        <v>74.67</v>
      </c>
      <c r="O114" s="111">
        <v>5.88</v>
      </c>
      <c r="P114" s="111"/>
      <c r="Q114" s="111">
        <v>13.11</v>
      </c>
      <c r="R114" s="111">
        <v>74.67</v>
      </c>
      <c r="S114" s="111"/>
      <c r="T114" s="111">
        <v>9.91</v>
      </c>
      <c r="U114" s="111">
        <v>58.82</v>
      </c>
      <c r="V114" s="111"/>
      <c r="W114" s="111">
        <v>13.11</v>
      </c>
      <c r="X114" s="111">
        <v>74.67</v>
      </c>
      <c r="Y114" s="111"/>
      <c r="Z114" s="111">
        <v>10.26</v>
      </c>
      <c r="AA114" s="111">
        <v>56.92</v>
      </c>
      <c r="AB114" s="111"/>
      <c r="AC114" s="111">
        <v>13.11</v>
      </c>
      <c r="AD114" s="111">
        <v>74.67</v>
      </c>
      <c r="AE114" s="111"/>
      <c r="AF114" s="111">
        <v>9.32</v>
      </c>
      <c r="AG114" s="111">
        <v>55.47</v>
      </c>
      <c r="AH114" s="111"/>
      <c r="AI114" s="111"/>
      <c r="AJ114" s="111"/>
      <c r="AK114" s="111"/>
      <c r="AL114" s="111">
        <v>5.83</v>
      </c>
      <c r="AM114" s="111"/>
      <c r="AN114" s="111">
        <v>6.89</v>
      </c>
      <c r="AO114" s="111">
        <v>34.5</v>
      </c>
      <c r="AP114" s="111">
        <v>0.0</v>
      </c>
      <c r="AQ114" s="111">
        <v>0.0</v>
      </c>
      <c r="AR114" s="111">
        <v>0.0</v>
      </c>
      <c r="AS114" s="111"/>
      <c r="AT114" s="142"/>
      <c r="AU114" s="142"/>
      <c r="AV114" s="111">
        <v>12.0</v>
      </c>
      <c r="AW114" s="111"/>
      <c r="AX114" s="111"/>
      <c r="AY114" s="111"/>
      <c r="AZ114" s="111"/>
      <c r="BA114" s="111"/>
      <c r="BB114" s="111">
        <v>5.84</v>
      </c>
      <c r="BC114" s="111"/>
      <c r="BD114" s="111">
        <v>6.86</v>
      </c>
      <c r="BE114" s="111">
        <v>33.5</v>
      </c>
      <c r="BF114" s="111"/>
      <c r="BG114" s="111"/>
      <c r="BH114" s="111"/>
      <c r="BI114" s="111"/>
      <c r="BJ114" s="142"/>
      <c r="BK114" s="111"/>
      <c r="BL114" s="111">
        <v>4.0</v>
      </c>
      <c r="BM114" s="111"/>
      <c r="BN114" s="111"/>
      <c r="BO114" s="111"/>
      <c r="BP114" s="111"/>
      <c r="BQ114" s="111"/>
      <c r="BR114" s="111">
        <v>5.17</v>
      </c>
      <c r="BS114" s="111"/>
      <c r="BT114" s="111">
        <v>6.9</v>
      </c>
      <c r="BU114" s="111">
        <v>32.5</v>
      </c>
      <c r="BV114" s="111"/>
      <c r="BW114" s="111"/>
      <c r="BX114" s="111"/>
      <c r="BY114" s="111"/>
      <c r="BZ114" s="142"/>
      <c r="CA114" s="111"/>
      <c r="CB114" s="111">
        <v>4.0</v>
      </c>
      <c r="CC114" s="111"/>
      <c r="CD114" s="111"/>
      <c r="CE114" s="111"/>
      <c r="CF114" s="111"/>
      <c r="CG114" s="111"/>
      <c r="CH114" s="111"/>
      <c r="CI114" s="111"/>
      <c r="CJ114" s="111"/>
      <c r="CK114" s="111"/>
      <c r="CL114" s="111"/>
      <c r="CM114" s="111"/>
      <c r="CN114" s="111"/>
      <c r="CO114" s="111"/>
      <c r="CP114" s="111"/>
      <c r="CQ114" s="111"/>
      <c r="CR114" s="111">
        <v>7775.0</v>
      </c>
      <c r="CS114" s="111">
        <v>0.0</v>
      </c>
      <c r="CT114" s="111">
        <f t="shared" si="14"/>
        <v>77.75</v>
      </c>
      <c r="CU114" s="111"/>
      <c r="CV114" s="111">
        <v>45.0</v>
      </c>
      <c r="CW114" s="111"/>
      <c r="CX114" s="111"/>
      <c r="CY114" s="111"/>
      <c r="CZ114" s="111">
        <v>2836.0</v>
      </c>
      <c r="DA114" s="111">
        <v>95.744</v>
      </c>
      <c r="DB114" s="111">
        <v>3.106</v>
      </c>
      <c r="DC114" s="111">
        <v>5.0</v>
      </c>
      <c r="DD114" s="111">
        <v>0.1</v>
      </c>
      <c r="DE114" s="111">
        <v>1.0</v>
      </c>
      <c r="DF114" s="111">
        <f t="shared" si="15"/>
        <v>36.47588424</v>
      </c>
      <c r="DG114" s="111"/>
      <c r="DH114" s="111"/>
      <c r="DI114" s="111"/>
      <c r="DJ114" s="111"/>
      <c r="DK114" s="111"/>
      <c r="DL114" s="111"/>
      <c r="DM114" s="111">
        <v>0.0</v>
      </c>
      <c r="DN114" s="149">
        <f t="shared" si="17"/>
        <v>129.4</v>
      </c>
      <c r="DO114" s="111">
        <v>0.0</v>
      </c>
      <c r="DP114" s="111"/>
      <c r="DQ114" s="111"/>
      <c r="DR114" s="111"/>
      <c r="DS114" s="111"/>
      <c r="DT114" s="111"/>
      <c r="DU114" s="111"/>
      <c r="DV114" s="111"/>
      <c r="DW114" s="111">
        <v>6390.0</v>
      </c>
      <c r="DX114" s="146">
        <f t="shared" si="16"/>
        <v>2.253173484</v>
      </c>
      <c r="DY114" s="111">
        <v>45.0</v>
      </c>
      <c r="DZ114" s="111"/>
      <c r="EA114" s="111"/>
      <c r="EB114" s="111"/>
      <c r="EC114" s="111"/>
      <c r="ED114" s="111">
        <v>18.1</v>
      </c>
      <c r="EE114" s="111"/>
      <c r="EF114" s="111"/>
      <c r="EG114" s="111"/>
      <c r="EH114" s="111"/>
      <c r="EI114" s="111"/>
      <c r="EJ114" s="111"/>
      <c r="EK114" s="147"/>
      <c r="EL114" s="111"/>
    </row>
    <row r="115" ht="17.25" customHeight="1">
      <c r="A115" s="148">
        <v>46022.0</v>
      </c>
      <c r="B115" s="111">
        <v>0.0</v>
      </c>
      <c r="C115" s="111"/>
      <c r="D115" s="111"/>
      <c r="E115" s="111">
        <v>100.0</v>
      </c>
      <c r="F115" s="111">
        <v>28.93</v>
      </c>
      <c r="G115" s="111">
        <v>80.95</v>
      </c>
      <c r="H115" s="111"/>
      <c r="I115" s="111"/>
      <c r="J115" s="111"/>
      <c r="K115" s="111">
        <v>78.0</v>
      </c>
      <c r="L115" s="111"/>
      <c r="M115" s="111">
        <v>12.98</v>
      </c>
      <c r="N115" s="111">
        <v>80.89</v>
      </c>
      <c r="O115" s="111">
        <v>5.76</v>
      </c>
      <c r="P115" s="111"/>
      <c r="Q115" s="111">
        <v>12.98</v>
      </c>
      <c r="R115" s="111">
        <v>80.89</v>
      </c>
      <c r="S115" s="111"/>
      <c r="T115" s="111">
        <v>9.94</v>
      </c>
      <c r="U115" s="111">
        <v>61.67</v>
      </c>
      <c r="V115" s="111"/>
      <c r="W115" s="111">
        <v>12.98</v>
      </c>
      <c r="X115" s="111">
        <v>80.89</v>
      </c>
      <c r="Y115" s="111"/>
      <c r="Z115" s="111">
        <v>10.71</v>
      </c>
      <c r="AA115" s="111">
        <v>55.83</v>
      </c>
      <c r="AB115" s="111"/>
      <c r="AC115" s="111">
        <v>12.98</v>
      </c>
      <c r="AD115" s="111">
        <v>80.89</v>
      </c>
      <c r="AE115" s="111"/>
      <c r="AF115" s="111">
        <v>9.14</v>
      </c>
      <c r="AG115" s="111">
        <v>56.67</v>
      </c>
      <c r="AH115" s="111"/>
      <c r="AI115" s="111"/>
      <c r="AJ115" s="111"/>
      <c r="AK115" s="111"/>
      <c r="AL115" s="111">
        <v>6.13</v>
      </c>
      <c r="AM115" s="111"/>
      <c r="AN115" s="111">
        <v>6.8</v>
      </c>
      <c r="AO115" s="111">
        <v>34.5</v>
      </c>
      <c r="AP115" s="111">
        <v>0.0</v>
      </c>
      <c r="AQ115" s="111">
        <v>0.0</v>
      </c>
      <c r="AR115" s="111">
        <v>0.0</v>
      </c>
      <c r="AS115" s="111"/>
      <c r="AT115" s="142"/>
      <c r="AU115" s="142"/>
      <c r="AV115" s="111">
        <v>12.0</v>
      </c>
      <c r="AW115" s="111"/>
      <c r="AX115" s="111"/>
      <c r="AY115" s="111"/>
      <c r="AZ115" s="111"/>
      <c r="BA115" s="111"/>
      <c r="BB115" s="111">
        <v>5.98</v>
      </c>
      <c r="BC115" s="111"/>
      <c r="BD115" s="111">
        <v>6.83</v>
      </c>
      <c r="BE115" s="111">
        <v>33.5</v>
      </c>
      <c r="BF115" s="111"/>
      <c r="BG115" s="111"/>
      <c r="BH115" s="111"/>
      <c r="BI115" s="111"/>
      <c r="BJ115" s="142"/>
      <c r="BK115" s="111"/>
      <c r="BL115" s="111">
        <v>4.0</v>
      </c>
      <c r="BM115" s="111"/>
      <c r="BN115" s="111"/>
      <c r="BO115" s="111"/>
      <c r="BP115" s="111"/>
      <c r="BQ115" s="111"/>
      <c r="BR115" s="111">
        <v>5.18</v>
      </c>
      <c r="BS115" s="111"/>
      <c r="BT115" s="111">
        <v>6.87</v>
      </c>
      <c r="BU115" s="111">
        <v>32.0</v>
      </c>
      <c r="BV115" s="111"/>
      <c r="BW115" s="111"/>
      <c r="BX115" s="111"/>
      <c r="BY115" s="111"/>
      <c r="BZ115" s="142"/>
      <c r="CA115" s="111"/>
      <c r="CB115" s="111">
        <v>4.0</v>
      </c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>
        <v>9240.0</v>
      </c>
      <c r="CS115" s="111">
        <v>0.0</v>
      </c>
      <c r="CT115" s="111">
        <f t="shared" si="14"/>
        <v>92.4</v>
      </c>
      <c r="CU115" s="111"/>
      <c r="CV115" s="111">
        <v>45.0</v>
      </c>
      <c r="CW115" s="111"/>
      <c r="CX115" s="111"/>
      <c r="CY115" s="111"/>
      <c r="CZ115" s="111">
        <v>3135.0</v>
      </c>
      <c r="DA115" s="111">
        <v>96.4</v>
      </c>
      <c r="DB115" s="111">
        <v>2.1</v>
      </c>
      <c r="DC115" s="111">
        <v>2.0</v>
      </c>
      <c r="DD115" s="111">
        <v>0.08</v>
      </c>
      <c r="DE115" s="111">
        <v>2.0</v>
      </c>
      <c r="DF115" s="111">
        <f t="shared" si="15"/>
        <v>33.92857143</v>
      </c>
      <c r="DG115" s="111"/>
      <c r="DH115" s="111"/>
      <c r="DI115" s="111"/>
      <c r="DJ115" s="111"/>
      <c r="DK115" s="111"/>
      <c r="DL115" s="111"/>
      <c r="DM115" s="111">
        <v>10.0</v>
      </c>
      <c r="DN115" s="149">
        <f t="shared" si="17"/>
        <v>139.4</v>
      </c>
      <c r="DO115" s="111">
        <v>0.0</v>
      </c>
      <c r="DP115" s="111"/>
      <c r="DQ115" s="111"/>
      <c r="DR115" s="111"/>
      <c r="DS115" s="111"/>
      <c r="DT115" s="111"/>
      <c r="DU115" s="111"/>
      <c r="DV115" s="111"/>
      <c r="DW115" s="111">
        <v>6930.0</v>
      </c>
      <c r="DX115" s="146">
        <f t="shared" si="16"/>
        <v>2.210526316</v>
      </c>
      <c r="DY115" s="111">
        <v>45.0</v>
      </c>
      <c r="DZ115" s="111"/>
      <c r="EA115" s="111"/>
      <c r="EB115" s="111"/>
      <c r="EC115" s="111"/>
      <c r="ED115" s="111">
        <v>23.4</v>
      </c>
      <c r="EE115" s="111"/>
      <c r="EF115" s="111"/>
      <c r="EG115" s="111"/>
      <c r="EH115" s="111"/>
      <c r="EI115" s="111"/>
      <c r="EJ115" s="111"/>
      <c r="EK115" s="147"/>
      <c r="EL115" s="111"/>
    </row>
    <row r="116" ht="17.25" customHeight="1">
      <c r="A116" s="150" t="s">
        <v>181</v>
      </c>
      <c r="B116" s="151">
        <f t="shared" ref="B116:CR116" si="18">SUM(B85:B115)</f>
        <v>0</v>
      </c>
      <c r="C116" s="151">
        <f t="shared" si="18"/>
        <v>0</v>
      </c>
      <c r="D116" s="151">
        <f t="shared" si="18"/>
        <v>0</v>
      </c>
      <c r="E116" s="151">
        <f t="shared" si="18"/>
        <v>3050</v>
      </c>
      <c r="F116" s="151">
        <f t="shared" si="18"/>
        <v>657.37</v>
      </c>
      <c r="G116" s="151">
        <f t="shared" si="18"/>
        <v>1585.8</v>
      </c>
      <c r="H116" s="151">
        <f t="shared" si="18"/>
        <v>0</v>
      </c>
      <c r="I116" s="151">
        <f t="shared" si="18"/>
        <v>0</v>
      </c>
      <c r="J116" s="151">
        <f t="shared" si="18"/>
        <v>0</v>
      </c>
      <c r="K116" s="151">
        <f t="shared" si="18"/>
        <v>2414</v>
      </c>
      <c r="L116" s="151">
        <f t="shared" si="18"/>
        <v>0</v>
      </c>
      <c r="M116" s="151">
        <f t="shared" si="18"/>
        <v>303.13</v>
      </c>
      <c r="N116" s="151">
        <f t="shared" si="18"/>
        <v>1690.95</v>
      </c>
      <c r="O116" s="151">
        <f t="shared" si="18"/>
        <v>141.44</v>
      </c>
      <c r="P116" s="151">
        <f t="shared" si="18"/>
        <v>0</v>
      </c>
      <c r="Q116" s="151">
        <f t="shared" si="18"/>
        <v>303.13</v>
      </c>
      <c r="R116" s="151">
        <f t="shared" si="18"/>
        <v>1629.13</v>
      </c>
      <c r="S116" s="151">
        <f t="shared" si="18"/>
        <v>0</v>
      </c>
      <c r="T116" s="151">
        <f t="shared" si="18"/>
        <v>235.86</v>
      </c>
      <c r="U116" s="151">
        <f t="shared" si="18"/>
        <v>1398.94</v>
      </c>
      <c r="V116" s="151">
        <f t="shared" si="18"/>
        <v>0</v>
      </c>
      <c r="W116" s="151">
        <f t="shared" si="18"/>
        <v>303.13</v>
      </c>
      <c r="X116" s="151">
        <f t="shared" si="18"/>
        <v>1629.13</v>
      </c>
      <c r="Y116" s="151">
        <f t="shared" si="18"/>
        <v>0</v>
      </c>
      <c r="Z116" s="151">
        <f t="shared" si="18"/>
        <v>241.08</v>
      </c>
      <c r="AA116" s="151">
        <f t="shared" si="18"/>
        <v>1328.59</v>
      </c>
      <c r="AB116" s="151">
        <f t="shared" si="18"/>
        <v>0</v>
      </c>
      <c r="AC116" s="151">
        <f t="shared" si="18"/>
        <v>303.13</v>
      </c>
      <c r="AD116" s="151">
        <f t="shared" si="18"/>
        <v>1629.13</v>
      </c>
      <c r="AE116" s="151">
        <f t="shared" si="18"/>
        <v>0</v>
      </c>
      <c r="AF116" s="151">
        <f t="shared" si="18"/>
        <v>220.65</v>
      </c>
      <c r="AG116" s="151">
        <f t="shared" si="18"/>
        <v>1288.28</v>
      </c>
      <c r="AH116" s="151">
        <f t="shared" si="18"/>
        <v>0</v>
      </c>
      <c r="AI116" s="151">
        <f t="shared" si="18"/>
        <v>0</v>
      </c>
      <c r="AJ116" s="151">
        <f t="shared" si="18"/>
        <v>0</v>
      </c>
      <c r="AK116" s="151">
        <f t="shared" si="18"/>
        <v>0</v>
      </c>
      <c r="AL116" s="151">
        <f t="shared" si="18"/>
        <v>137.55</v>
      </c>
      <c r="AM116" s="151">
        <f t="shared" si="18"/>
        <v>308.57</v>
      </c>
      <c r="AN116" s="151">
        <f t="shared" si="18"/>
        <v>167.02</v>
      </c>
      <c r="AO116" s="151">
        <f t="shared" si="18"/>
        <v>812</v>
      </c>
      <c r="AP116" s="151">
        <f t="shared" si="18"/>
        <v>0</v>
      </c>
      <c r="AQ116" s="151">
        <f t="shared" si="18"/>
        <v>0</v>
      </c>
      <c r="AR116" s="151">
        <f t="shared" si="18"/>
        <v>0</v>
      </c>
      <c r="AS116" s="151">
        <f t="shared" si="18"/>
        <v>0</v>
      </c>
      <c r="AT116" s="151">
        <f t="shared" si="18"/>
        <v>0</v>
      </c>
      <c r="AU116" s="151">
        <f t="shared" si="18"/>
        <v>0</v>
      </c>
      <c r="AV116" s="151">
        <f t="shared" si="18"/>
        <v>372</v>
      </c>
      <c r="AW116" s="151">
        <f t="shared" si="18"/>
        <v>0</v>
      </c>
      <c r="AX116" s="151">
        <f t="shared" si="18"/>
        <v>0</v>
      </c>
      <c r="AY116" s="151">
        <f t="shared" si="18"/>
        <v>0</v>
      </c>
      <c r="AZ116" s="151">
        <f t="shared" si="18"/>
        <v>0</v>
      </c>
      <c r="BA116" s="151">
        <f t="shared" si="18"/>
        <v>0</v>
      </c>
      <c r="BB116" s="151">
        <f t="shared" si="18"/>
        <v>133.68</v>
      </c>
      <c r="BC116" s="151">
        <f t="shared" si="18"/>
        <v>294.53</v>
      </c>
      <c r="BD116" s="151">
        <f t="shared" si="18"/>
        <v>167</v>
      </c>
      <c r="BE116" s="151">
        <f t="shared" si="18"/>
        <v>787.5</v>
      </c>
      <c r="BF116" s="151">
        <f t="shared" si="18"/>
        <v>0</v>
      </c>
      <c r="BG116" s="151">
        <f t="shared" si="18"/>
        <v>0</v>
      </c>
      <c r="BH116" s="151">
        <f t="shared" si="18"/>
        <v>0</v>
      </c>
      <c r="BI116" s="151">
        <f t="shared" si="18"/>
        <v>0</v>
      </c>
      <c r="BJ116" s="151">
        <f t="shared" si="18"/>
        <v>0</v>
      </c>
      <c r="BK116" s="151">
        <f t="shared" si="18"/>
        <v>0</v>
      </c>
      <c r="BL116" s="151">
        <f t="shared" si="18"/>
        <v>124</v>
      </c>
      <c r="BM116" s="151">
        <f t="shared" si="18"/>
        <v>0</v>
      </c>
      <c r="BN116" s="151">
        <f t="shared" si="18"/>
        <v>0</v>
      </c>
      <c r="BO116" s="151">
        <f t="shared" si="18"/>
        <v>0</v>
      </c>
      <c r="BP116" s="151">
        <f t="shared" si="18"/>
        <v>0</v>
      </c>
      <c r="BQ116" s="151">
        <f t="shared" si="18"/>
        <v>0</v>
      </c>
      <c r="BR116" s="151">
        <f t="shared" si="18"/>
        <v>118.46</v>
      </c>
      <c r="BS116" s="151">
        <f t="shared" si="18"/>
        <v>311.03</v>
      </c>
      <c r="BT116" s="151">
        <f t="shared" si="18"/>
        <v>167.72</v>
      </c>
      <c r="BU116" s="151">
        <f t="shared" si="18"/>
        <v>760</v>
      </c>
      <c r="BV116" s="151">
        <f t="shared" si="18"/>
        <v>0</v>
      </c>
      <c r="BW116" s="151">
        <f t="shared" si="18"/>
        <v>0</v>
      </c>
      <c r="BX116" s="151">
        <f t="shared" si="18"/>
        <v>0</v>
      </c>
      <c r="BY116" s="151">
        <f t="shared" si="18"/>
        <v>0</v>
      </c>
      <c r="BZ116" s="151">
        <f t="shared" si="18"/>
        <v>0</v>
      </c>
      <c r="CA116" s="151">
        <f t="shared" si="18"/>
        <v>0</v>
      </c>
      <c r="CB116" s="151">
        <f t="shared" si="18"/>
        <v>124</v>
      </c>
      <c r="CC116" s="151">
        <f t="shared" si="18"/>
        <v>0</v>
      </c>
      <c r="CD116" s="151">
        <f t="shared" si="18"/>
        <v>0</v>
      </c>
      <c r="CE116" s="151">
        <f t="shared" si="18"/>
        <v>0</v>
      </c>
      <c r="CF116" s="151">
        <f t="shared" si="18"/>
        <v>0</v>
      </c>
      <c r="CG116" s="151">
        <f t="shared" si="18"/>
        <v>0</v>
      </c>
      <c r="CH116" s="151">
        <f t="shared" si="18"/>
        <v>0</v>
      </c>
      <c r="CI116" s="151">
        <f t="shared" si="18"/>
        <v>0</v>
      </c>
      <c r="CJ116" s="151">
        <f t="shared" si="18"/>
        <v>0</v>
      </c>
      <c r="CK116" s="151">
        <f t="shared" si="18"/>
        <v>0</v>
      </c>
      <c r="CL116" s="151">
        <f t="shared" si="18"/>
        <v>0</v>
      </c>
      <c r="CM116" s="151">
        <f t="shared" si="18"/>
        <v>0</v>
      </c>
      <c r="CN116" s="151">
        <f t="shared" si="18"/>
        <v>0</v>
      </c>
      <c r="CO116" s="151">
        <f t="shared" si="18"/>
        <v>0</v>
      </c>
      <c r="CP116" s="151">
        <f t="shared" si="18"/>
        <v>0</v>
      </c>
      <c r="CQ116" s="151">
        <f t="shared" si="18"/>
        <v>0</v>
      </c>
      <c r="CR116" s="151">
        <f t="shared" si="18"/>
        <v>242754</v>
      </c>
      <c r="CS116" s="111">
        <v>0.0</v>
      </c>
      <c r="CT116" s="151">
        <f t="shared" ref="CT116:EL116" si="19">SUM(CT85:CT115)</f>
        <v>2467.625556</v>
      </c>
      <c r="CU116" s="151">
        <f t="shared" si="19"/>
        <v>0</v>
      </c>
      <c r="CV116" s="151">
        <f t="shared" si="19"/>
        <v>979</v>
      </c>
      <c r="CW116" s="151">
        <f t="shared" si="19"/>
        <v>0</v>
      </c>
      <c r="CX116" s="151">
        <f t="shared" si="19"/>
        <v>0</v>
      </c>
      <c r="CY116" s="151">
        <f t="shared" si="19"/>
        <v>0</v>
      </c>
      <c r="CZ116" s="151">
        <f t="shared" si="19"/>
        <v>91658</v>
      </c>
      <c r="DA116" s="151">
        <f t="shared" si="19"/>
        <v>2974.402</v>
      </c>
      <c r="DB116" s="151">
        <f t="shared" si="19"/>
        <v>91.972</v>
      </c>
      <c r="DC116" s="151">
        <f t="shared" si="19"/>
        <v>71</v>
      </c>
      <c r="DD116" s="151">
        <f t="shared" si="19"/>
        <v>2.65</v>
      </c>
      <c r="DE116" s="151">
        <f t="shared" si="19"/>
        <v>45.6</v>
      </c>
      <c r="DF116" s="151">
        <f t="shared" si="19"/>
        <v>1171.35237</v>
      </c>
      <c r="DG116" s="151">
        <f t="shared" si="19"/>
        <v>0</v>
      </c>
      <c r="DH116" s="151">
        <f t="shared" si="19"/>
        <v>0</v>
      </c>
      <c r="DI116" s="151">
        <f t="shared" si="19"/>
        <v>0</v>
      </c>
      <c r="DJ116" s="151">
        <f t="shared" si="19"/>
        <v>0</v>
      </c>
      <c r="DK116" s="151">
        <f t="shared" si="19"/>
        <v>0</v>
      </c>
      <c r="DL116" s="151">
        <f t="shared" si="19"/>
        <v>0</v>
      </c>
      <c r="DM116" s="151">
        <f t="shared" si="19"/>
        <v>96.4</v>
      </c>
      <c r="DN116" s="154">
        <f t="shared" si="19"/>
        <v>5467.8</v>
      </c>
      <c r="DO116" s="151">
        <f t="shared" si="19"/>
        <v>236</v>
      </c>
      <c r="DP116" s="151">
        <f t="shared" si="19"/>
        <v>0</v>
      </c>
      <c r="DQ116" s="151">
        <f t="shared" si="19"/>
        <v>0</v>
      </c>
      <c r="DR116" s="151">
        <f t="shared" si="19"/>
        <v>0</v>
      </c>
      <c r="DS116" s="151">
        <f t="shared" si="19"/>
        <v>0</v>
      </c>
      <c r="DT116" s="151">
        <f t="shared" si="19"/>
        <v>0</v>
      </c>
      <c r="DU116" s="151">
        <f t="shared" si="19"/>
        <v>0</v>
      </c>
      <c r="DV116" s="151">
        <f t="shared" si="19"/>
        <v>0</v>
      </c>
      <c r="DW116" s="151">
        <f t="shared" si="19"/>
        <v>186517</v>
      </c>
      <c r="DX116" s="153">
        <f t="shared" si="19"/>
        <v>63.35296489</v>
      </c>
      <c r="DY116" s="151">
        <f t="shared" si="19"/>
        <v>1395</v>
      </c>
      <c r="DZ116" s="151">
        <f t="shared" si="19"/>
        <v>0</v>
      </c>
      <c r="EA116" s="151">
        <f t="shared" si="19"/>
        <v>0</v>
      </c>
      <c r="EB116" s="151">
        <f t="shared" si="19"/>
        <v>0</v>
      </c>
      <c r="EC116" s="151">
        <f t="shared" si="19"/>
        <v>0</v>
      </c>
      <c r="ED116" s="151">
        <f t="shared" si="19"/>
        <v>636.9</v>
      </c>
      <c r="EE116" s="151">
        <f t="shared" si="19"/>
        <v>0</v>
      </c>
      <c r="EF116" s="151">
        <f t="shared" si="19"/>
        <v>0</v>
      </c>
      <c r="EG116" s="151">
        <f t="shared" si="19"/>
        <v>0</v>
      </c>
      <c r="EH116" s="151">
        <f t="shared" si="19"/>
        <v>0</v>
      </c>
      <c r="EI116" s="151">
        <f t="shared" si="19"/>
        <v>0</v>
      </c>
      <c r="EJ116" s="151">
        <f t="shared" si="19"/>
        <v>0</v>
      </c>
      <c r="EK116" s="151">
        <f t="shared" si="19"/>
        <v>0</v>
      </c>
      <c r="EL116" s="151">
        <f t="shared" si="19"/>
        <v>0</v>
      </c>
    </row>
    <row r="117" ht="17.25" customHeight="1">
      <c r="A117" s="150" t="s">
        <v>182</v>
      </c>
      <c r="B117" s="151">
        <f t="shared" ref="B117:EL117" si="20">B116/31</f>
        <v>0</v>
      </c>
      <c r="C117" s="151">
        <f t="shared" si="20"/>
        <v>0</v>
      </c>
      <c r="D117" s="151">
        <f t="shared" si="20"/>
        <v>0</v>
      </c>
      <c r="E117" s="151">
        <f t="shared" si="20"/>
        <v>98.38709677</v>
      </c>
      <c r="F117" s="151">
        <f t="shared" si="20"/>
        <v>21.20548387</v>
      </c>
      <c r="G117" s="151">
        <f t="shared" si="20"/>
        <v>51.15483871</v>
      </c>
      <c r="H117" s="151">
        <f t="shared" si="20"/>
        <v>0</v>
      </c>
      <c r="I117" s="151">
        <f t="shared" si="20"/>
        <v>0</v>
      </c>
      <c r="J117" s="151">
        <f t="shared" si="20"/>
        <v>0</v>
      </c>
      <c r="K117" s="151">
        <f t="shared" si="20"/>
        <v>77.87096774</v>
      </c>
      <c r="L117" s="151">
        <f t="shared" si="20"/>
        <v>0</v>
      </c>
      <c r="M117" s="151">
        <f t="shared" si="20"/>
        <v>9.778387097</v>
      </c>
      <c r="N117" s="151">
        <f t="shared" si="20"/>
        <v>54.54677419</v>
      </c>
      <c r="O117" s="151">
        <f t="shared" si="20"/>
        <v>4.562580645</v>
      </c>
      <c r="P117" s="151">
        <f t="shared" si="20"/>
        <v>0</v>
      </c>
      <c r="Q117" s="151">
        <f t="shared" si="20"/>
        <v>9.778387097</v>
      </c>
      <c r="R117" s="151">
        <f t="shared" si="20"/>
        <v>52.55258065</v>
      </c>
      <c r="S117" s="151">
        <f t="shared" si="20"/>
        <v>0</v>
      </c>
      <c r="T117" s="151">
        <f t="shared" si="20"/>
        <v>7.608387097</v>
      </c>
      <c r="U117" s="151">
        <f t="shared" si="20"/>
        <v>45.12709677</v>
      </c>
      <c r="V117" s="151">
        <f t="shared" si="20"/>
        <v>0</v>
      </c>
      <c r="W117" s="151">
        <f t="shared" si="20"/>
        <v>9.778387097</v>
      </c>
      <c r="X117" s="151">
        <f t="shared" si="20"/>
        <v>52.55258065</v>
      </c>
      <c r="Y117" s="151">
        <f t="shared" si="20"/>
        <v>0</v>
      </c>
      <c r="Z117" s="151">
        <f t="shared" si="20"/>
        <v>7.776774194</v>
      </c>
      <c r="AA117" s="151">
        <f t="shared" si="20"/>
        <v>42.85774194</v>
      </c>
      <c r="AB117" s="151">
        <f t="shared" si="20"/>
        <v>0</v>
      </c>
      <c r="AC117" s="151">
        <f t="shared" si="20"/>
        <v>9.778387097</v>
      </c>
      <c r="AD117" s="151">
        <f t="shared" si="20"/>
        <v>52.55258065</v>
      </c>
      <c r="AE117" s="151">
        <f t="shared" si="20"/>
        <v>0</v>
      </c>
      <c r="AF117" s="151">
        <f t="shared" si="20"/>
        <v>7.117741935</v>
      </c>
      <c r="AG117" s="151">
        <f t="shared" si="20"/>
        <v>41.55741935</v>
      </c>
      <c r="AH117" s="151">
        <f t="shared" si="20"/>
        <v>0</v>
      </c>
      <c r="AI117" s="151">
        <f t="shared" si="20"/>
        <v>0</v>
      </c>
      <c r="AJ117" s="151">
        <f t="shared" si="20"/>
        <v>0</v>
      </c>
      <c r="AK117" s="151">
        <f t="shared" si="20"/>
        <v>0</v>
      </c>
      <c r="AL117" s="151">
        <f t="shared" si="20"/>
        <v>4.437096774</v>
      </c>
      <c r="AM117" s="151">
        <f t="shared" si="20"/>
        <v>9.953870968</v>
      </c>
      <c r="AN117" s="151">
        <f t="shared" si="20"/>
        <v>5.387741935</v>
      </c>
      <c r="AO117" s="151">
        <f t="shared" si="20"/>
        <v>26.19354839</v>
      </c>
      <c r="AP117" s="151">
        <f t="shared" si="20"/>
        <v>0</v>
      </c>
      <c r="AQ117" s="151">
        <f t="shared" si="20"/>
        <v>0</v>
      </c>
      <c r="AR117" s="151">
        <f t="shared" si="20"/>
        <v>0</v>
      </c>
      <c r="AS117" s="151">
        <f t="shared" si="20"/>
        <v>0</v>
      </c>
      <c r="AT117" s="151">
        <f t="shared" si="20"/>
        <v>0</v>
      </c>
      <c r="AU117" s="151">
        <f t="shared" si="20"/>
        <v>0</v>
      </c>
      <c r="AV117" s="151">
        <f t="shared" si="20"/>
        <v>12</v>
      </c>
      <c r="AW117" s="151">
        <f t="shared" si="20"/>
        <v>0</v>
      </c>
      <c r="AX117" s="151">
        <f t="shared" si="20"/>
        <v>0</v>
      </c>
      <c r="AY117" s="151">
        <f t="shared" si="20"/>
        <v>0</v>
      </c>
      <c r="AZ117" s="151">
        <f t="shared" si="20"/>
        <v>0</v>
      </c>
      <c r="BA117" s="151">
        <f t="shared" si="20"/>
        <v>0</v>
      </c>
      <c r="BB117" s="151">
        <f t="shared" si="20"/>
        <v>4.312258065</v>
      </c>
      <c r="BC117" s="151">
        <f t="shared" si="20"/>
        <v>9.500967742</v>
      </c>
      <c r="BD117" s="151">
        <f t="shared" si="20"/>
        <v>5.387096774</v>
      </c>
      <c r="BE117" s="151">
        <f t="shared" si="20"/>
        <v>25.40322581</v>
      </c>
      <c r="BF117" s="151">
        <f t="shared" si="20"/>
        <v>0</v>
      </c>
      <c r="BG117" s="151">
        <f t="shared" si="20"/>
        <v>0</v>
      </c>
      <c r="BH117" s="151">
        <f t="shared" si="20"/>
        <v>0</v>
      </c>
      <c r="BI117" s="151">
        <f t="shared" si="20"/>
        <v>0</v>
      </c>
      <c r="BJ117" s="151">
        <f t="shared" si="20"/>
        <v>0</v>
      </c>
      <c r="BK117" s="151">
        <f t="shared" si="20"/>
        <v>0</v>
      </c>
      <c r="BL117" s="151">
        <f t="shared" si="20"/>
        <v>4</v>
      </c>
      <c r="BM117" s="151">
        <f t="shared" si="20"/>
        <v>0</v>
      </c>
      <c r="BN117" s="151">
        <f t="shared" si="20"/>
        <v>0</v>
      </c>
      <c r="BO117" s="151">
        <f t="shared" si="20"/>
        <v>0</v>
      </c>
      <c r="BP117" s="151">
        <f t="shared" si="20"/>
        <v>0</v>
      </c>
      <c r="BQ117" s="151">
        <f t="shared" si="20"/>
        <v>0</v>
      </c>
      <c r="BR117" s="151">
        <f t="shared" si="20"/>
        <v>3.821290323</v>
      </c>
      <c r="BS117" s="151">
        <f t="shared" si="20"/>
        <v>10.03322581</v>
      </c>
      <c r="BT117" s="151">
        <f t="shared" si="20"/>
        <v>5.410322581</v>
      </c>
      <c r="BU117" s="151">
        <f t="shared" si="20"/>
        <v>24.51612903</v>
      </c>
      <c r="BV117" s="151">
        <f t="shared" si="20"/>
        <v>0</v>
      </c>
      <c r="BW117" s="151">
        <f t="shared" si="20"/>
        <v>0</v>
      </c>
      <c r="BX117" s="151">
        <f t="shared" si="20"/>
        <v>0</v>
      </c>
      <c r="BY117" s="151">
        <f t="shared" si="20"/>
        <v>0</v>
      </c>
      <c r="BZ117" s="151">
        <f t="shared" si="20"/>
        <v>0</v>
      </c>
      <c r="CA117" s="151">
        <f t="shared" si="20"/>
        <v>0</v>
      </c>
      <c r="CB117" s="151">
        <f t="shared" si="20"/>
        <v>4</v>
      </c>
      <c r="CC117" s="151">
        <f t="shared" si="20"/>
        <v>0</v>
      </c>
      <c r="CD117" s="151">
        <f t="shared" si="20"/>
        <v>0</v>
      </c>
      <c r="CE117" s="151">
        <f t="shared" si="20"/>
        <v>0</v>
      </c>
      <c r="CF117" s="151">
        <f t="shared" si="20"/>
        <v>0</v>
      </c>
      <c r="CG117" s="151">
        <f t="shared" si="20"/>
        <v>0</v>
      </c>
      <c r="CH117" s="151">
        <f t="shared" si="20"/>
        <v>0</v>
      </c>
      <c r="CI117" s="151">
        <f t="shared" si="20"/>
        <v>0</v>
      </c>
      <c r="CJ117" s="151">
        <f t="shared" si="20"/>
        <v>0</v>
      </c>
      <c r="CK117" s="151">
        <f t="shared" si="20"/>
        <v>0</v>
      </c>
      <c r="CL117" s="151">
        <f t="shared" si="20"/>
        <v>0</v>
      </c>
      <c r="CM117" s="151">
        <f t="shared" si="20"/>
        <v>0</v>
      </c>
      <c r="CN117" s="151">
        <f t="shared" si="20"/>
        <v>0</v>
      </c>
      <c r="CO117" s="151">
        <f t="shared" si="20"/>
        <v>0</v>
      </c>
      <c r="CP117" s="151">
        <f t="shared" si="20"/>
        <v>0</v>
      </c>
      <c r="CQ117" s="151">
        <f t="shared" si="20"/>
        <v>0</v>
      </c>
      <c r="CR117" s="151">
        <f t="shared" si="20"/>
        <v>7830.774194</v>
      </c>
      <c r="CS117" s="151">
        <f t="shared" si="20"/>
        <v>0</v>
      </c>
      <c r="CT117" s="151">
        <f t="shared" si="20"/>
        <v>79.60082437</v>
      </c>
      <c r="CU117" s="151">
        <f t="shared" si="20"/>
        <v>0</v>
      </c>
      <c r="CV117" s="151">
        <f t="shared" si="20"/>
        <v>31.58064516</v>
      </c>
      <c r="CW117" s="151">
        <f t="shared" si="20"/>
        <v>0</v>
      </c>
      <c r="CX117" s="151">
        <f t="shared" si="20"/>
        <v>0</v>
      </c>
      <c r="CY117" s="151">
        <f t="shared" si="20"/>
        <v>0</v>
      </c>
      <c r="CZ117" s="151">
        <f t="shared" si="20"/>
        <v>2956.709677</v>
      </c>
      <c r="DA117" s="151">
        <f t="shared" si="20"/>
        <v>95.94845161</v>
      </c>
      <c r="DB117" s="151">
        <f t="shared" si="20"/>
        <v>2.96683871</v>
      </c>
      <c r="DC117" s="151">
        <f t="shared" si="20"/>
        <v>2.290322581</v>
      </c>
      <c r="DD117" s="151">
        <f t="shared" si="20"/>
        <v>0.08548387097</v>
      </c>
      <c r="DE117" s="151">
        <f t="shared" si="20"/>
        <v>1.470967742</v>
      </c>
      <c r="DF117" s="151">
        <f t="shared" si="20"/>
        <v>37.78556031</v>
      </c>
      <c r="DG117" s="151">
        <f t="shared" si="20"/>
        <v>0</v>
      </c>
      <c r="DH117" s="151">
        <f t="shared" si="20"/>
        <v>0</v>
      </c>
      <c r="DI117" s="151">
        <f t="shared" si="20"/>
        <v>0</v>
      </c>
      <c r="DJ117" s="151">
        <f t="shared" si="20"/>
        <v>0</v>
      </c>
      <c r="DK117" s="151">
        <f t="shared" si="20"/>
        <v>0</v>
      </c>
      <c r="DL117" s="151">
        <f t="shared" si="20"/>
        <v>0</v>
      </c>
      <c r="DM117" s="151">
        <f t="shared" si="20"/>
        <v>3.109677419</v>
      </c>
      <c r="DN117" s="151">
        <f t="shared" si="20"/>
        <v>176.3806452</v>
      </c>
      <c r="DO117" s="151">
        <f t="shared" si="20"/>
        <v>7.612903226</v>
      </c>
      <c r="DP117" s="151">
        <f t="shared" si="20"/>
        <v>0</v>
      </c>
      <c r="DQ117" s="151">
        <f t="shared" si="20"/>
        <v>0</v>
      </c>
      <c r="DR117" s="151">
        <f t="shared" si="20"/>
        <v>0</v>
      </c>
      <c r="DS117" s="151">
        <f t="shared" si="20"/>
        <v>0</v>
      </c>
      <c r="DT117" s="151">
        <f t="shared" si="20"/>
        <v>0</v>
      </c>
      <c r="DU117" s="151">
        <f t="shared" si="20"/>
        <v>0</v>
      </c>
      <c r="DV117" s="151">
        <f t="shared" si="20"/>
        <v>0</v>
      </c>
      <c r="DW117" s="151">
        <f t="shared" si="20"/>
        <v>6016.677419</v>
      </c>
      <c r="DX117" s="151">
        <f t="shared" si="20"/>
        <v>2.043644029</v>
      </c>
      <c r="DY117" s="151">
        <f t="shared" si="20"/>
        <v>45</v>
      </c>
      <c r="DZ117" s="151">
        <f t="shared" si="20"/>
        <v>0</v>
      </c>
      <c r="EA117" s="151">
        <f t="shared" si="20"/>
        <v>0</v>
      </c>
      <c r="EB117" s="151">
        <f t="shared" si="20"/>
        <v>0</v>
      </c>
      <c r="EC117" s="151">
        <f t="shared" si="20"/>
        <v>0</v>
      </c>
      <c r="ED117" s="151">
        <f t="shared" si="20"/>
        <v>20.54516129</v>
      </c>
      <c r="EE117" s="151">
        <f t="shared" si="20"/>
        <v>0</v>
      </c>
      <c r="EF117" s="151">
        <f t="shared" si="20"/>
        <v>0</v>
      </c>
      <c r="EG117" s="151">
        <f t="shared" si="20"/>
        <v>0</v>
      </c>
      <c r="EH117" s="151">
        <f t="shared" si="20"/>
        <v>0</v>
      </c>
      <c r="EI117" s="151">
        <f t="shared" si="20"/>
        <v>0</v>
      </c>
      <c r="EJ117" s="151">
        <f t="shared" si="20"/>
        <v>0</v>
      </c>
      <c r="EK117" s="151">
        <f t="shared" si="20"/>
        <v>0</v>
      </c>
      <c r="EL117" s="151">
        <f t="shared" si="20"/>
        <v>0</v>
      </c>
    </row>
    <row r="118" ht="17.25" customHeight="1">
      <c r="A118" s="148">
        <v>46023.0</v>
      </c>
      <c r="B118" s="111">
        <v>0.0</v>
      </c>
      <c r="C118" s="111"/>
      <c r="D118" s="111"/>
      <c r="E118" s="111">
        <v>100.0</v>
      </c>
      <c r="F118" s="111">
        <v>30.2</v>
      </c>
      <c r="G118" s="111">
        <v>80.39</v>
      </c>
      <c r="H118" s="111"/>
      <c r="I118" s="111"/>
      <c r="J118" s="111"/>
      <c r="K118" s="111">
        <v>76.0</v>
      </c>
      <c r="L118" s="111"/>
      <c r="M118" s="18">
        <v>13.55</v>
      </c>
      <c r="N118" s="18">
        <v>75.86</v>
      </c>
      <c r="O118" s="111">
        <v>5.8</v>
      </c>
      <c r="P118" s="111"/>
      <c r="Q118" s="111">
        <v>13.55</v>
      </c>
      <c r="R118" s="111">
        <v>75.86</v>
      </c>
      <c r="S118" s="111"/>
      <c r="T118" s="18">
        <v>10.06</v>
      </c>
      <c r="U118" s="18">
        <v>61.63</v>
      </c>
      <c r="V118" s="111"/>
      <c r="W118" s="111">
        <v>13.55</v>
      </c>
      <c r="X118" s="111">
        <v>75.86</v>
      </c>
      <c r="Y118" s="111"/>
      <c r="Z118" s="18">
        <v>10.65</v>
      </c>
      <c r="AA118" s="18">
        <v>55.39</v>
      </c>
      <c r="AB118" s="111"/>
      <c r="AC118" s="111">
        <v>13.55</v>
      </c>
      <c r="AD118" s="111">
        <v>75.86</v>
      </c>
      <c r="AE118" s="111"/>
      <c r="AF118" s="18">
        <v>9.34</v>
      </c>
      <c r="AG118" s="18">
        <v>55.67</v>
      </c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42"/>
      <c r="AU118" s="142"/>
      <c r="AV118" s="111">
        <v>12.0</v>
      </c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42"/>
      <c r="BK118" s="111"/>
      <c r="BL118" s="111">
        <v>4.0</v>
      </c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  <c r="BW118" s="111"/>
      <c r="BX118" s="111"/>
      <c r="BY118" s="111"/>
      <c r="BZ118" s="142"/>
      <c r="CA118" s="111"/>
      <c r="CB118" s="111">
        <v>4.0</v>
      </c>
      <c r="CC118" s="111"/>
      <c r="CD118" s="111"/>
      <c r="CE118" s="111"/>
      <c r="CF118" s="111"/>
      <c r="CG118" s="111"/>
      <c r="CH118" s="111"/>
      <c r="CI118" s="111"/>
      <c r="CJ118" s="111"/>
      <c r="CK118" s="111"/>
      <c r="CL118" s="111"/>
      <c r="CM118" s="111"/>
      <c r="CN118" s="111"/>
      <c r="CO118" s="111"/>
      <c r="CP118" s="111"/>
      <c r="CQ118" s="111"/>
      <c r="CR118" s="111">
        <v>8042.0</v>
      </c>
      <c r="CS118" s="111">
        <v>0.0</v>
      </c>
      <c r="CT118" s="111">
        <f t="shared" ref="CT118:CT143" si="21">CR118/E118</f>
        <v>80.42</v>
      </c>
      <c r="CU118" s="111"/>
      <c r="CV118" s="111">
        <v>45.0</v>
      </c>
      <c r="CW118" s="111"/>
      <c r="CX118" s="111"/>
      <c r="CY118" s="111"/>
      <c r="CZ118" s="111">
        <v>2920.0</v>
      </c>
      <c r="DA118" s="111">
        <v>96.4</v>
      </c>
      <c r="DB118" s="111">
        <v>2.1</v>
      </c>
      <c r="DC118" s="111">
        <v>2.0</v>
      </c>
      <c r="DD118" s="111">
        <v>0.08</v>
      </c>
      <c r="DE118" s="111">
        <v>2.0</v>
      </c>
      <c r="DF118" s="111">
        <f t="shared" ref="DF118:DF148" si="22">(CZ118/CR118)*100</f>
        <v>36.30937578</v>
      </c>
      <c r="DG118" s="111"/>
      <c r="DH118" s="111"/>
      <c r="DI118" s="111"/>
      <c r="DJ118" s="111"/>
      <c r="DK118" s="111"/>
      <c r="DL118" s="111"/>
      <c r="DM118" s="111">
        <v>0.0</v>
      </c>
      <c r="DN118" s="149">
        <f>DN115+DM118-DO115</f>
        <v>139.4</v>
      </c>
      <c r="DO118" s="111">
        <v>0.0</v>
      </c>
      <c r="DP118" s="111"/>
      <c r="DQ118" s="111"/>
      <c r="DR118" s="111"/>
      <c r="DS118" s="111"/>
      <c r="DT118" s="111"/>
      <c r="DU118" s="111"/>
      <c r="DV118" s="111"/>
      <c r="DW118" s="111">
        <v>5925.0</v>
      </c>
      <c r="DX118" s="146">
        <f t="shared" ref="DX118:DX143" si="23">DW118/CZ118</f>
        <v>2.029109589</v>
      </c>
      <c r="DY118" s="111">
        <v>45.0</v>
      </c>
      <c r="DZ118" s="111"/>
      <c r="EA118" s="111"/>
      <c r="EB118" s="111"/>
      <c r="EC118" s="111"/>
      <c r="ED118" s="111">
        <v>19.15</v>
      </c>
      <c r="EE118" s="111"/>
      <c r="EF118" s="111"/>
      <c r="EG118" s="111"/>
      <c r="EH118" s="111"/>
      <c r="EI118" s="111"/>
      <c r="EJ118" s="111"/>
      <c r="EK118" s="147"/>
      <c r="EL118" s="111"/>
    </row>
    <row r="119" ht="17.25" customHeight="1">
      <c r="A119" s="148">
        <v>46024.0</v>
      </c>
      <c r="B119" s="111">
        <v>0.0</v>
      </c>
      <c r="C119" s="111"/>
      <c r="D119" s="111"/>
      <c r="E119" s="111">
        <v>100.0</v>
      </c>
      <c r="F119" s="111">
        <v>29.73</v>
      </c>
      <c r="G119" s="111">
        <v>81.13</v>
      </c>
      <c r="H119" s="111"/>
      <c r="I119" s="111"/>
      <c r="J119" s="111"/>
      <c r="K119" s="111">
        <v>90.0</v>
      </c>
      <c r="L119" s="111"/>
      <c r="M119" s="18">
        <v>12.96</v>
      </c>
      <c r="N119" s="18">
        <v>76.54</v>
      </c>
      <c r="O119" s="111"/>
      <c r="P119" s="111"/>
      <c r="Q119" s="18">
        <v>12.96</v>
      </c>
      <c r="R119" s="18">
        <v>76.54</v>
      </c>
      <c r="S119" s="111"/>
      <c r="T119" s="18">
        <v>9.95</v>
      </c>
      <c r="U119" s="18">
        <v>61.5</v>
      </c>
      <c r="V119" s="111"/>
      <c r="W119" s="18">
        <v>12.96</v>
      </c>
      <c r="X119" s="18">
        <v>76.54</v>
      </c>
      <c r="Y119" s="111"/>
      <c r="Z119" s="18">
        <v>10.04</v>
      </c>
      <c r="AA119" s="18">
        <v>59.26</v>
      </c>
      <c r="AB119" s="111"/>
      <c r="AC119" s="18">
        <v>12.96</v>
      </c>
      <c r="AD119" s="18">
        <v>76.54</v>
      </c>
      <c r="AE119" s="111"/>
      <c r="AF119" s="18">
        <v>9.76</v>
      </c>
      <c r="AG119" s="18">
        <v>53.89</v>
      </c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42"/>
      <c r="AU119" s="142"/>
      <c r="AV119" s="111">
        <v>12.0</v>
      </c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42"/>
      <c r="BK119" s="111"/>
      <c r="BL119" s="111">
        <v>4.0</v>
      </c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1"/>
      <c r="BY119" s="111"/>
      <c r="BZ119" s="142"/>
      <c r="CA119" s="111"/>
      <c r="CB119" s="111">
        <v>4.0</v>
      </c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>
        <v>7714.0</v>
      </c>
      <c r="CS119" s="111">
        <v>0.0</v>
      </c>
      <c r="CT119" s="111">
        <f t="shared" si="21"/>
        <v>77.14</v>
      </c>
      <c r="CU119" s="111"/>
      <c r="CV119" s="111">
        <v>44.0</v>
      </c>
      <c r="CW119" s="111"/>
      <c r="CX119" s="111"/>
      <c r="CY119" s="111"/>
      <c r="CZ119" s="111">
        <v>2881.0</v>
      </c>
      <c r="DA119" s="111">
        <v>96.4</v>
      </c>
      <c r="DB119" s="111">
        <v>2.1</v>
      </c>
      <c r="DC119" s="111">
        <v>2.0</v>
      </c>
      <c r="DD119" s="111">
        <v>0.08</v>
      </c>
      <c r="DE119" s="111">
        <v>2.0</v>
      </c>
      <c r="DF119" s="111">
        <f t="shared" si="22"/>
        <v>37.34767954</v>
      </c>
      <c r="DG119" s="111"/>
      <c r="DH119" s="111"/>
      <c r="DI119" s="111"/>
      <c r="DJ119" s="111"/>
      <c r="DK119" s="111"/>
      <c r="DL119" s="111"/>
      <c r="DM119" s="111">
        <v>9.0</v>
      </c>
      <c r="DN119" s="149">
        <f t="shared" ref="DN119:DN144" si="24">DN118+DM119-DO118</f>
        <v>148.4</v>
      </c>
      <c r="DO119" s="111">
        <v>0.0</v>
      </c>
      <c r="DP119" s="111"/>
      <c r="DQ119" s="111"/>
      <c r="DR119" s="111"/>
      <c r="DS119" s="111"/>
      <c r="DT119" s="111"/>
      <c r="DU119" s="111"/>
      <c r="DV119" s="111"/>
      <c r="DW119" s="111">
        <v>5805.0</v>
      </c>
      <c r="DX119" s="146">
        <f t="shared" si="23"/>
        <v>2.014925373</v>
      </c>
      <c r="DY119" s="111">
        <v>45.0</v>
      </c>
      <c r="DZ119" s="111"/>
      <c r="EA119" s="111"/>
      <c r="EB119" s="111"/>
      <c r="EC119" s="111"/>
      <c r="ED119" s="111">
        <v>20.3</v>
      </c>
      <c r="EE119" s="111"/>
      <c r="EF119" s="111"/>
      <c r="EG119" s="111"/>
      <c r="EH119" s="111"/>
      <c r="EI119" s="111"/>
      <c r="EJ119" s="111"/>
      <c r="EK119" s="147"/>
      <c r="EL119" s="111"/>
    </row>
    <row r="120" ht="17.25" customHeight="1">
      <c r="A120" s="148">
        <v>46025.0</v>
      </c>
      <c r="B120" s="111">
        <v>0.0</v>
      </c>
      <c r="C120" s="111"/>
      <c r="D120" s="111"/>
      <c r="E120" s="111">
        <v>90.0</v>
      </c>
      <c r="F120" s="111">
        <v>32.21</v>
      </c>
      <c r="G120" s="111">
        <v>83.04</v>
      </c>
      <c r="H120" s="111"/>
      <c r="I120" s="111"/>
      <c r="J120" s="111"/>
      <c r="K120" s="111">
        <f>48+37.5+20</f>
        <v>105.5</v>
      </c>
      <c r="L120" s="111"/>
      <c r="M120" s="18">
        <v>14.42</v>
      </c>
      <c r="N120" s="18">
        <v>72.19</v>
      </c>
      <c r="O120" s="111"/>
      <c r="P120" s="111"/>
      <c r="Q120" s="18">
        <v>14.42</v>
      </c>
      <c r="R120" s="18">
        <v>72.19</v>
      </c>
      <c r="S120" s="111"/>
      <c r="T120" s="18">
        <v>10.0</v>
      </c>
      <c r="U120" s="18">
        <v>60.8</v>
      </c>
      <c r="V120" s="111"/>
      <c r="W120" s="18">
        <v>14.42</v>
      </c>
      <c r="X120" s="18">
        <v>72.19</v>
      </c>
      <c r="Y120" s="111"/>
      <c r="Z120" s="18">
        <v>10.55</v>
      </c>
      <c r="AA120" s="18">
        <v>57.53</v>
      </c>
      <c r="AB120" s="111"/>
      <c r="AC120" s="18">
        <v>14.42</v>
      </c>
      <c r="AD120" s="18">
        <v>72.19</v>
      </c>
      <c r="AE120" s="111"/>
      <c r="AF120" s="18">
        <v>9.56</v>
      </c>
      <c r="AG120" s="18">
        <v>56.38</v>
      </c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42"/>
      <c r="AU120" s="142"/>
      <c r="AV120" s="111">
        <v>12.0</v>
      </c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42"/>
      <c r="BK120" s="111"/>
      <c r="BL120" s="111">
        <v>4.0</v>
      </c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42"/>
      <c r="CA120" s="111"/>
      <c r="CB120" s="111">
        <v>4.0</v>
      </c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>
        <v>8755.0</v>
      </c>
      <c r="CS120" s="111">
        <v>0.0</v>
      </c>
      <c r="CT120" s="111">
        <f t="shared" si="21"/>
        <v>97.27777778</v>
      </c>
      <c r="CU120" s="111"/>
      <c r="CV120" s="111">
        <v>45.0</v>
      </c>
      <c r="CW120" s="111"/>
      <c r="CX120" s="111"/>
      <c r="CY120" s="111"/>
      <c r="CZ120" s="111">
        <v>3115.0</v>
      </c>
      <c r="DA120" s="18">
        <v>95.6</v>
      </c>
      <c r="DB120" s="18">
        <v>3.5</v>
      </c>
      <c r="DC120" s="111">
        <v>2.0</v>
      </c>
      <c r="DD120" s="18">
        <v>0.08</v>
      </c>
      <c r="DE120" s="145">
        <v>2.0</v>
      </c>
      <c r="DF120" s="111">
        <f t="shared" si="22"/>
        <v>35.57966876</v>
      </c>
      <c r="DG120" s="111"/>
      <c r="DH120" s="111"/>
      <c r="DI120" s="111"/>
      <c r="DJ120" s="111"/>
      <c r="DK120" s="111"/>
      <c r="DL120" s="111"/>
      <c r="DM120" s="111">
        <v>0.0</v>
      </c>
      <c r="DN120" s="149">
        <f t="shared" si="24"/>
        <v>148.4</v>
      </c>
      <c r="DO120" s="111">
        <v>0.0</v>
      </c>
      <c r="DP120" s="111"/>
      <c r="DQ120" s="111"/>
      <c r="DR120" s="111"/>
      <c r="DS120" s="111"/>
      <c r="DT120" s="111"/>
      <c r="DU120" s="111"/>
      <c r="DV120" s="111"/>
      <c r="DW120" s="111">
        <v>6090.0</v>
      </c>
      <c r="DX120" s="146">
        <f t="shared" si="23"/>
        <v>1.95505618</v>
      </c>
      <c r="DY120" s="111">
        <v>45.0</v>
      </c>
      <c r="DZ120" s="111"/>
      <c r="EA120" s="111"/>
      <c r="EB120" s="111"/>
      <c r="EC120" s="111"/>
      <c r="ED120" s="111">
        <v>22.4</v>
      </c>
      <c r="EE120" s="111"/>
      <c r="EF120" s="111"/>
      <c r="EG120" s="111"/>
      <c r="EH120" s="111"/>
      <c r="EI120" s="111"/>
      <c r="EJ120" s="111"/>
      <c r="EK120" s="147"/>
      <c r="EL120" s="111"/>
    </row>
    <row r="121" ht="17.25" customHeight="1">
      <c r="A121" s="148">
        <v>46026.0</v>
      </c>
      <c r="B121" s="111">
        <v>0.0</v>
      </c>
      <c r="C121" s="111"/>
      <c r="D121" s="111"/>
      <c r="E121" s="111">
        <v>90.0</v>
      </c>
      <c r="F121" s="111">
        <v>0.0</v>
      </c>
      <c r="G121" s="111">
        <v>0.0</v>
      </c>
      <c r="H121" s="111"/>
      <c r="I121" s="111"/>
      <c r="J121" s="111"/>
      <c r="K121" s="111">
        <v>109.0</v>
      </c>
      <c r="L121" s="111"/>
      <c r="M121" s="18">
        <v>0.0</v>
      </c>
      <c r="N121" s="18">
        <v>0.0</v>
      </c>
      <c r="O121" s="111"/>
      <c r="P121" s="111"/>
      <c r="Q121" s="111">
        <v>0.0</v>
      </c>
      <c r="R121" s="111">
        <v>0.0</v>
      </c>
      <c r="S121" s="111"/>
      <c r="T121" s="111">
        <v>0.0</v>
      </c>
      <c r="U121" s="111">
        <v>0.0</v>
      </c>
      <c r="V121" s="111"/>
      <c r="W121" s="111"/>
      <c r="X121" s="111"/>
      <c r="Y121" s="111"/>
      <c r="Z121" s="111">
        <v>0.0</v>
      </c>
      <c r="AA121" s="111">
        <v>0.0</v>
      </c>
      <c r="AB121" s="111"/>
      <c r="AC121" s="111">
        <v>0.0</v>
      </c>
      <c r="AD121" s="111">
        <v>0.0</v>
      </c>
      <c r="AE121" s="111"/>
      <c r="AF121" s="111">
        <v>0.0</v>
      </c>
      <c r="AG121" s="111">
        <v>0.0</v>
      </c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42"/>
      <c r="AU121" s="142"/>
      <c r="AV121" s="111">
        <v>12.0</v>
      </c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42"/>
      <c r="BK121" s="111"/>
      <c r="BL121" s="111">
        <v>4.0</v>
      </c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1"/>
      <c r="BY121" s="111"/>
      <c r="BZ121" s="142"/>
      <c r="CA121" s="111"/>
      <c r="CB121" s="111">
        <v>4.0</v>
      </c>
      <c r="CC121" s="111"/>
      <c r="CD121" s="111"/>
      <c r="CE121" s="111"/>
      <c r="CF121" s="111"/>
      <c r="CG121" s="111"/>
      <c r="CH121" s="111"/>
      <c r="CI121" s="111"/>
      <c r="CJ121" s="111"/>
      <c r="CK121" s="111"/>
      <c r="CL121" s="111"/>
      <c r="CM121" s="111"/>
      <c r="CN121" s="111"/>
      <c r="CO121" s="111"/>
      <c r="CP121" s="111"/>
      <c r="CQ121" s="111"/>
      <c r="CR121" s="111">
        <v>5424.0</v>
      </c>
      <c r="CS121" s="111">
        <v>0.0</v>
      </c>
      <c r="CT121" s="111">
        <f t="shared" si="21"/>
        <v>60.26666667</v>
      </c>
      <c r="CU121" s="111"/>
      <c r="CV121" s="111">
        <v>0.0</v>
      </c>
      <c r="CW121" s="111"/>
      <c r="CX121" s="111"/>
      <c r="CY121" s="111"/>
      <c r="CZ121" s="111">
        <v>2197.0</v>
      </c>
      <c r="DA121" s="111">
        <v>95.744</v>
      </c>
      <c r="DB121" s="111">
        <v>3.106</v>
      </c>
      <c r="DC121" s="111">
        <v>5.0</v>
      </c>
      <c r="DD121" s="111">
        <v>0.1</v>
      </c>
      <c r="DE121" s="111">
        <v>1.0</v>
      </c>
      <c r="DF121" s="111">
        <f t="shared" si="22"/>
        <v>40.50516224</v>
      </c>
      <c r="DG121" s="111"/>
      <c r="DH121" s="111"/>
      <c r="DI121" s="111"/>
      <c r="DJ121" s="111"/>
      <c r="DK121" s="111"/>
      <c r="DL121" s="111"/>
      <c r="DM121" s="111">
        <v>7.0</v>
      </c>
      <c r="DN121" s="149">
        <f t="shared" si="24"/>
        <v>155.4</v>
      </c>
      <c r="DO121" s="111">
        <v>0.0</v>
      </c>
      <c r="DP121" s="111"/>
      <c r="DQ121" s="111"/>
      <c r="DR121" s="111"/>
      <c r="DS121" s="111"/>
      <c r="DT121" s="111"/>
      <c r="DU121" s="111"/>
      <c r="DV121" s="111"/>
      <c r="DW121" s="111">
        <v>4000.0</v>
      </c>
      <c r="DX121" s="146">
        <f t="shared" si="23"/>
        <v>1.820664543</v>
      </c>
      <c r="DY121" s="111">
        <v>45.0</v>
      </c>
      <c r="DZ121" s="111"/>
      <c r="EA121" s="111"/>
      <c r="EB121" s="111"/>
      <c r="EC121" s="111"/>
      <c r="ED121" s="111">
        <v>10.5</v>
      </c>
      <c r="EE121" s="111"/>
      <c r="EF121" s="111"/>
      <c r="EG121" s="111"/>
      <c r="EH121" s="111"/>
      <c r="EI121" s="111"/>
      <c r="EJ121" s="111"/>
      <c r="EK121" s="147"/>
      <c r="EL121" s="111"/>
    </row>
    <row r="122" ht="17.25" customHeight="1">
      <c r="A122" s="148">
        <v>46027.0</v>
      </c>
      <c r="B122" s="111">
        <v>0.0</v>
      </c>
      <c r="C122" s="111"/>
      <c r="D122" s="111"/>
      <c r="E122" s="111">
        <v>80.0</v>
      </c>
      <c r="F122" s="111">
        <v>33.15</v>
      </c>
      <c r="G122" s="111">
        <v>73.84</v>
      </c>
      <c r="H122" s="111"/>
      <c r="I122" s="111"/>
      <c r="J122" s="111"/>
      <c r="K122" s="111">
        <v>92.0</v>
      </c>
      <c r="L122" s="111"/>
      <c r="M122" s="18">
        <v>12.59</v>
      </c>
      <c r="N122" s="18">
        <v>73.62</v>
      </c>
      <c r="O122" s="111"/>
      <c r="P122" s="111"/>
      <c r="Q122" s="18">
        <v>12.59</v>
      </c>
      <c r="R122" s="18">
        <v>73.62</v>
      </c>
      <c r="S122" s="111"/>
      <c r="T122" s="18">
        <v>9.7</v>
      </c>
      <c r="U122" s="18">
        <v>59.69</v>
      </c>
      <c r="V122" s="111"/>
      <c r="W122" s="18">
        <v>12.59</v>
      </c>
      <c r="X122" s="18">
        <v>73.62</v>
      </c>
      <c r="Y122" s="111"/>
      <c r="Z122" s="18">
        <v>11.04</v>
      </c>
      <c r="AA122" s="18">
        <v>52.17</v>
      </c>
      <c r="AB122" s="1"/>
      <c r="AC122" s="18">
        <v>12.59</v>
      </c>
      <c r="AD122" s="18">
        <v>73.62</v>
      </c>
      <c r="AE122" s="111"/>
      <c r="AF122" s="18">
        <v>9.15</v>
      </c>
      <c r="AG122" s="18">
        <v>55.4</v>
      </c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42"/>
      <c r="AU122" s="142"/>
      <c r="AV122" s="111">
        <v>12.0</v>
      </c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42"/>
      <c r="BK122" s="111"/>
      <c r="BL122" s="111">
        <v>4.0</v>
      </c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  <c r="BW122" s="111"/>
      <c r="BX122" s="111"/>
      <c r="BY122" s="111"/>
      <c r="BZ122" s="142"/>
      <c r="CA122" s="111"/>
      <c r="CB122" s="111">
        <v>4.0</v>
      </c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>
        <v>8321.0</v>
      </c>
      <c r="CS122" s="111">
        <v>0.0</v>
      </c>
      <c r="CT122" s="111">
        <f t="shared" si="21"/>
        <v>104.0125</v>
      </c>
      <c r="CU122" s="111"/>
      <c r="CV122" s="111">
        <v>43.0</v>
      </c>
      <c r="CW122" s="111"/>
      <c r="CX122" s="111"/>
      <c r="CY122" s="111"/>
      <c r="CZ122" s="111">
        <v>3233.0</v>
      </c>
      <c r="DA122" s="111">
        <v>96.4</v>
      </c>
      <c r="DB122" s="111">
        <v>2.1</v>
      </c>
      <c r="DC122" s="111">
        <v>2.0</v>
      </c>
      <c r="DD122" s="111">
        <v>0.08</v>
      </c>
      <c r="DE122" s="111">
        <v>2.0</v>
      </c>
      <c r="DF122" s="111">
        <f t="shared" si="22"/>
        <v>38.85350318</v>
      </c>
      <c r="DG122" s="111"/>
      <c r="DH122" s="111"/>
      <c r="DI122" s="111"/>
      <c r="DJ122" s="111"/>
      <c r="DK122" s="111"/>
      <c r="DL122" s="111"/>
      <c r="DM122" s="111">
        <v>2.0</v>
      </c>
      <c r="DN122" s="149">
        <f t="shared" si="24"/>
        <v>157.4</v>
      </c>
      <c r="DO122" s="111">
        <v>0.0</v>
      </c>
      <c r="DP122" s="111"/>
      <c r="DQ122" s="111"/>
      <c r="DR122" s="111"/>
      <c r="DS122" s="111"/>
      <c r="DT122" s="111"/>
      <c r="DU122" s="111"/>
      <c r="DV122" s="111"/>
      <c r="DW122" s="111">
        <v>5805.0</v>
      </c>
      <c r="DX122" s="146">
        <f t="shared" si="23"/>
        <v>1.795545933</v>
      </c>
      <c r="DY122" s="111">
        <v>45.0</v>
      </c>
      <c r="DZ122" s="111"/>
      <c r="EA122" s="111"/>
      <c r="EB122" s="111"/>
      <c r="EC122" s="111"/>
      <c r="ED122" s="111">
        <v>20.25</v>
      </c>
      <c r="EE122" s="111"/>
      <c r="EF122" s="111"/>
      <c r="EG122" s="111"/>
      <c r="EH122" s="111"/>
      <c r="EI122" s="111"/>
      <c r="EJ122" s="111"/>
      <c r="EK122" s="147"/>
      <c r="EL122" s="111"/>
    </row>
    <row r="123" ht="17.25" customHeight="1">
      <c r="A123" s="148">
        <v>46028.0</v>
      </c>
      <c r="B123" s="111">
        <v>0.0</v>
      </c>
      <c r="C123" s="111"/>
      <c r="D123" s="111"/>
      <c r="E123" s="111">
        <v>80.0</v>
      </c>
      <c r="F123" s="111">
        <v>31.67</v>
      </c>
      <c r="G123" s="111">
        <v>71.36</v>
      </c>
      <c r="H123" s="111"/>
      <c r="I123" s="111"/>
      <c r="J123" s="111"/>
      <c r="K123" s="111">
        <v>83.0</v>
      </c>
      <c r="L123" s="111"/>
      <c r="M123" s="18">
        <v>12.83</v>
      </c>
      <c r="N123" s="18">
        <v>72.25</v>
      </c>
      <c r="O123" s="111"/>
      <c r="P123" s="111"/>
      <c r="Q123" s="18">
        <v>12.83</v>
      </c>
      <c r="R123" s="18">
        <v>72.25</v>
      </c>
      <c r="S123" s="111"/>
      <c r="T123" s="18">
        <v>9.77</v>
      </c>
      <c r="U123" s="18">
        <v>60.9</v>
      </c>
      <c r="V123" s="111"/>
      <c r="W123" s="18">
        <v>12.83</v>
      </c>
      <c r="X123" s="18">
        <v>72.25</v>
      </c>
      <c r="Y123" s="111"/>
      <c r="Z123" s="18">
        <v>9.77</v>
      </c>
      <c r="AA123" s="18">
        <v>58.23</v>
      </c>
      <c r="AB123" s="1"/>
      <c r="AC123" s="18">
        <v>12.83</v>
      </c>
      <c r="AD123" s="18">
        <v>72.25</v>
      </c>
      <c r="AE123" s="111"/>
      <c r="AF123" s="18">
        <v>9.29</v>
      </c>
      <c r="AG123" s="18">
        <v>54.79</v>
      </c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42"/>
      <c r="AU123" s="142"/>
      <c r="AV123" s="111">
        <v>12.0</v>
      </c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42"/>
      <c r="BK123" s="111"/>
      <c r="BL123" s="111">
        <v>4.0</v>
      </c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42"/>
      <c r="CA123" s="111"/>
      <c r="CB123" s="111">
        <v>4.0</v>
      </c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>
        <v>7478.0</v>
      </c>
      <c r="CS123" s="111">
        <v>0.0</v>
      </c>
      <c r="CT123" s="111">
        <f t="shared" si="21"/>
        <v>93.475</v>
      </c>
      <c r="CU123" s="111"/>
      <c r="CV123" s="111">
        <v>39.0</v>
      </c>
      <c r="CW123" s="111"/>
      <c r="CX123" s="111"/>
      <c r="CY123" s="111"/>
      <c r="CZ123" s="111">
        <v>2581.0</v>
      </c>
      <c r="DA123" s="111">
        <v>96.4</v>
      </c>
      <c r="DB123" s="111">
        <v>3.1</v>
      </c>
      <c r="DC123" s="111">
        <v>0.0</v>
      </c>
      <c r="DD123" s="111">
        <v>0.06</v>
      </c>
      <c r="DE123" s="111">
        <v>1.0</v>
      </c>
      <c r="DF123" s="111">
        <f t="shared" si="22"/>
        <v>34.51457609</v>
      </c>
      <c r="DG123" s="111"/>
      <c r="DH123" s="111"/>
      <c r="DI123" s="111"/>
      <c r="DJ123" s="111"/>
      <c r="DK123" s="111"/>
      <c r="DL123" s="111"/>
      <c r="DM123" s="111">
        <v>6.0</v>
      </c>
      <c r="DN123" s="149">
        <f t="shared" si="24"/>
        <v>163.4</v>
      </c>
      <c r="DO123" s="111">
        <v>0.0</v>
      </c>
      <c r="DP123" s="111"/>
      <c r="DQ123" s="111"/>
      <c r="DR123" s="111"/>
      <c r="DS123" s="111"/>
      <c r="DT123" s="111"/>
      <c r="DU123" s="111"/>
      <c r="DV123" s="111"/>
      <c r="DW123" s="111">
        <v>5340.0</v>
      </c>
      <c r="DX123" s="146">
        <f t="shared" si="23"/>
        <v>2.068965517</v>
      </c>
      <c r="DY123" s="111">
        <v>45.0</v>
      </c>
      <c r="DZ123" s="111"/>
      <c r="EA123" s="111"/>
      <c r="EB123" s="111"/>
      <c r="EC123" s="111"/>
      <c r="ED123" s="111">
        <v>20.35</v>
      </c>
      <c r="EE123" s="111"/>
      <c r="EF123" s="111"/>
      <c r="EG123" s="111"/>
      <c r="EH123" s="111"/>
      <c r="EI123" s="111"/>
      <c r="EJ123" s="111"/>
      <c r="EK123" s="147"/>
      <c r="EL123" s="111"/>
    </row>
    <row r="124" ht="17.25" customHeight="1">
      <c r="A124" s="148">
        <v>46029.0</v>
      </c>
      <c r="B124" s="111">
        <v>0.0</v>
      </c>
      <c r="C124" s="111"/>
      <c r="D124" s="111"/>
      <c r="E124" s="111">
        <v>90.0</v>
      </c>
      <c r="F124" s="111">
        <v>27.13</v>
      </c>
      <c r="G124" s="111">
        <v>79.76</v>
      </c>
      <c r="H124" s="111"/>
      <c r="I124" s="111"/>
      <c r="J124" s="111"/>
      <c r="K124" s="111">
        <v>126.0</v>
      </c>
      <c r="L124" s="111"/>
      <c r="M124" s="18">
        <v>11.64</v>
      </c>
      <c r="N124" s="18">
        <v>70.1</v>
      </c>
      <c r="O124" s="111"/>
      <c r="P124" s="111"/>
      <c r="Q124" s="18">
        <v>11.64</v>
      </c>
      <c r="R124" s="18">
        <v>70.1</v>
      </c>
      <c r="S124" s="111"/>
      <c r="T124" s="18">
        <v>9.6</v>
      </c>
      <c r="U124" s="18">
        <v>60.0</v>
      </c>
      <c r="V124" s="111"/>
      <c r="W124" s="18">
        <v>11.64</v>
      </c>
      <c r="X124" s="18">
        <v>70.1</v>
      </c>
      <c r="Y124" s="111"/>
      <c r="Z124" s="18">
        <v>9.88</v>
      </c>
      <c r="AA124" s="18">
        <v>57.79</v>
      </c>
      <c r="AB124" s="1"/>
      <c r="AC124" s="18">
        <v>11.64</v>
      </c>
      <c r="AD124" s="18">
        <v>70.1</v>
      </c>
      <c r="AE124" s="111"/>
      <c r="AF124" s="18">
        <v>9.39</v>
      </c>
      <c r="AG124" s="18">
        <v>53.99</v>
      </c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42"/>
      <c r="AU124" s="142"/>
      <c r="AV124" s="111">
        <v>12.0</v>
      </c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42"/>
      <c r="BK124" s="111"/>
      <c r="BL124" s="111">
        <v>4.0</v>
      </c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42"/>
      <c r="CA124" s="111"/>
      <c r="CB124" s="111">
        <v>4.0</v>
      </c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>
        <v>6545.0</v>
      </c>
      <c r="CS124" s="111">
        <v>0.0</v>
      </c>
      <c r="CT124" s="111">
        <f t="shared" si="21"/>
        <v>72.72222222</v>
      </c>
      <c r="CU124" s="111"/>
      <c r="CV124" s="111">
        <v>38.6</v>
      </c>
      <c r="CW124" s="111"/>
      <c r="CX124" s="111"/>
      <c r="CY124" s="111"/>
      <c r="CZ124" s="111">
        <v>2542.0</v>
      </c>
      <c r="DA124" s="111">
        <v>96.8</v>
      </c>
      <c r="DB124" s="111">
        <v>2.4</v>
      </c>
      <c r="DC124" s="111">
        <v>1.0</v>
      </c>
      <c r="DD124" s="111">
        <v>0.07</v>
      </c>
      <c r="DE124" s="111">
        <v>1.0</v>
      </c>
      <c r="DF124" s="111">
        <f t="shared" si="22"/>
        <v>38.83880825</v>
      </c>
      <c r="DG124" s="111"/>
      <c r="DH124" s="111"/>
      <c r="DI124" s="111"/>
      <c r="DJ124" s="111"/>
      <c r="DK124" s="111"/>
      <c r="DL124" s="111"/>
      <c r="DM124" s="111">
        <v>0.0</v>
      </c>
      <c r="DN124" s="149">
        <f t="shared" si="24"/>
        <v>163.4</v>
      </c>
      <c r="DO124" s="111">
        <v>16.0</v>
      </c>
      <c r="DP124" s="111"/>
      <c r="DQ124" s="111"/>
      <c r="DR124" s="111"/>
      <c r="DS124" s="111"/>
      <c r="DT124" s="111"/>
      <c r="DU124" s="111"/>
      <c r="DV124" s="111"/>
      <c r="DW124" s="111">
        <v>5640.0</v>
      </c>
      <c r="DX124" s="146">
        <f t="shared" si="23"/>
        <v>2.218725413</v>
      </c>
      <c r="DY124" s="111">
        <v>45.0</v>
      </c>
      <c r="DZ124" s="111"/>
      <c r="EA124" s="111"/>
      <c r="EB124" s="111"/>
      <c r="EC124" s="111"/>
      <c r="ED124" s="111">
        <v>18.35</v>
      </c>
      <c r="EE124" s="111"/>
      <c r="EF124" s="111"/>
      <c r="EG124" s="111"/>
      <c r="EH124" s="111"/>
      <c r="EI124" s="111"/>
      <c r="EJ124" s="111"/>
      <c r="EK124" s="147"/>
      <c r="EL124" s="111"/>
    </row>
    <row r="125" ht="17.25" customHeight="1">
      <c r="A125" s="148">
        <v>46030.0</v>
      </c>
      <c r="B125" s="111">
        <v>0.0</v>
      </c>
      <c r="C125" s="111"/>
      <c r="D125" s="111"/>
      <c r="E125" s="111">
        <v>90.0</v>
      </c>
      <c r="F125" s="111">
        <v>29.57</v>
      </c>
      <c r="G125" s="111">
        <v>79.43</v>
      </c>
      <c r="H125" s="111"/>
      <c r="I125" s="111"/>
      <c r="J125" s="111"/>
      <c r="K125" s="111">
        <v>121.0</v>
      </c>
      <c r="L125" s="111"/>
      <c r="M125" s="111">
        <v>10.47</v>
      </c>
      <c r="N125" s="111">
        <v>69.72</v>
      </c>
      <c r="O125" s="111"/>
      <c r="P125" s="111"/>
      <c r="Q125" s="111">
        <v>10.47</v>
      </c>
      <c r="R125" s="111">
        <v>69.72</v>
      </c>
      <c r="S125" s="111"/>
      <c r="T125" s="111">
        <v>9.65</v>
      </c>
      <c r="U125" s="111">
        <v>60.0</v>
      </c>
      <c r="V125" s="111"/>
      <c r="W125" s="111">
        <v>10.47</v>
      </c>
      <c r="X125" s="111">
        <v>69.72</v>
      </c>
      <c r="Y125" s="111"/>
      <c r="Z125" s="111">
        <v>11.01</v>
      </c>
      <c r="AA125" s="111">
        <v>53.58</v>
      </c>
      <c r="AB125" s="111"/>
      <c r="AC125" s="111">
        <v>10.47</v>
      </c>
      <c r="AD125" s="111">
        <v>69.72</v>
      </c>
      <c r="AE125" s="111"/>
      <c r="AF125" s="111">
        <v>8.23</v>
      </c>
      <c r="AG125" s="111">
        <v>57.35</v>
      </c>
      <c r="AH125" s="111"/>
      <c r="AI125" s="111"/>
      <c r="AJ125" s="111"/>
      <c r="AK125" s="111"/>
      <c r="AL125" s="111">
        <v>5.79</v>
      </c>
      <c r="AM125" s="111"/>
      <c r="AN125" s="111">
        <v>6.9</v>
      </c>
      <c r="AO125" s="111">
        <v>34.0</v>
      </c>
      <c r="AP125" s="111">
        <v>0.0</v>
      </c>
      <c r="AQ125" s="111">
        <v>0.0</v>
      </c>
      <c r="AR125" s="111">
        <v>0.0</v>
      </c>
      <c r="AS125" s="111"/>
      <c r="AT125" s="142"/>
      <c r="AU125" s="142"/>
      <c r="AV125" s="111">
        <v>12.0</v>
      </c>
      <c r="AW125" s="111"/>
      <c r="AX125" s="111"/>
      <c r="AY125" s="111"/>
      <c r="AZ125" s="111"/>
      <c r="BA125" s="111"/>
      <c r="BB125" s="111">
        <v>5.9</v>
      </c>
      <c r="BC125" s="111"/>
      <c r="BD125" s="111">
        <v>6.87</v>
      </c>
      <c r="BE125" s="111">
        <v>33.0</v>
      </c>
      <c r="BF125" s="111"/>
      <c r="BG125" s="111"/>
      <c r="BH125" s="111"/>
      <c r="BI125" s="111"/>
      <c r="BJ125" s="142"/>
      <c r="BK125" s="111"/>
      <c r="BL125" s="111">
        <v>4.0</v>
      </c>
      <c r="BM125" s="111"/>
      <c r="BN125" s="111"/>
      <c r="BO125" s="111"/>
      <c r="BP125" s="111"/>
      <c r="BQ125" s="111"/>
      <c r="BR125" s="111">
        <v>4.72</v>
      </c>
      <c r="BS125" s="111"/>
      <c r="BT125" s="111">
        <v>6.93</v>
      </c>
      <c r="BU125" s="111">
        <v>32.0</v>
      </c>
      <c r="BV125" s="111"/>
      <c r="BW125" s="111"/>
      <c r="BX125" s="111"/>
      <c r="BY125" s="111"/>
      <c r="BZ125" s="142"/>
      <c r="CA125" s="111"/>
      <c r="CB125" s="111">
        <v>4.0</v>
      </c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>
        <v>7281.0</v>
      </c>
      <c r="CS125" s="111">
        <v>0.0</v>
      </c>
      <c r="CT125" s="111">
        <f t="shared" si="21"/>
        <v>80.9</v>
      </c>
      <c r="CU125" s="111"/>
      <c r="CV125" s="111">
        <v>40.0</v>
      </c>
      <c r="CW125" s="111"/>
      <c r="CX125" s="111"/>
      <c r="CY125" s="111"/>
      <c r="CZ125" s="111">
        <v>2668.0</v>
      </c>
      <c r="DA125" s="111">
        <v>96.4</v>
      </c>
      <c r="DB125" s="111">
        <v>2.1</v>
      </c>
      <c r="DC125" s="111">
        <v>2.0</v>
      </c>
      <c r="DD125" s="111">
        <v>0.08</v>
      </c>
      <c r="DE125" s="111">
        <v>2.0</v>
      </c>
      <c r="DF125" s="111">
        <f t="shared" si="22"/>
        <v>36.64331823</v>
      </c>
      <c r="DG125" s="111"/>
      <c r="DH125" s="111"/>
      <c r="DI125" s="111"/>
      <c r="DJ125" s="111"/>
      <c r="DK125" s="111"/>
      <c r="DL125" s="111"/>
      <c r="DM125" s="111">
        <v>10.0</v>
      </c>
      <c r="DN125" s="149">
        <f t="shared" si="24"/>
        <v>157.4</v>
      </c>
      <c r="DO125" s="111">
        <v>0.0</v>
      </c>
      <c r="DP125" s="111"/>
      <c r="DQ125" s="111"/>
      <c r="DR125" s="111"/>
      <c r="DS125" s="111"/>
      <c r="DT125" s="111"/>
      <c r="DU125" s="111"/>
      <c r="DV125" s="111"/>
      <c r="DW125" s="111">
        <v>5665.0</v>
      </c>
      <c r="DX125" s="111">
        <f t="shared" si="23"/>
        <v>2.123313343</v>
      </c>
      <c r="DY125" s="111">
        <v>45.0</v>
      </c>
      <c r="DZ125" s="111"/>
      <c r="EA125" s="111"/>
      <c r="EB125" s="111"/>
      <c r="EC125" s="111"/>
      <c r="ED125" s="111">
        <v>18.1</v>
      </c>
      <c r="EE125" s="111"/>
      <c r="EF125" s="111"/>
      <c r="EG125" s="111"/>
      <c r="EH125" s="111"/>
      <c r="EI125" s="111"/>
      <c r="EJ125" s="111"/>
      <c r="EK125" s="147"/>
      <c r="EL125" s="111"/>
    </row>
    <row r="126" ht="17.25" customHeight="1">
      <c r="A126" s="148">
        <v>46031.0</v>
      </c>
      <c r="B126" s="111">
        <v>0.0</v>
      </c>
      <c r="C126" s="111"/>
      <c r="D126" s="111"/>
      <c r="E126" s="111">
        <v>80.0</v>
      </c>
      <c r="F126" s="111">
        <v>32.58</v>
      </c>
      <c r="G126" s="111">
        <v>76.15</v>
      </c>
      <c r="H126" s="111"/>
      <c r="I126" s="111"/>
      <c r="J126" s="111"/>
      <c r="K126" s="111">
        <f>92+15</f>
        <v>107</v>
      </c>
      <c r="L126" s="111"/>
      <c r="M126" s="18">
        <v>13.31</v>
      </c>
      <c r="N126" s="111">
        <v>74.68</v>
      </c>
      <c r="O126" s="111"/>
      <c r="P126" s="111"/>
      <c r="Q126" s="18">
        <v>13.31</v>
      </c>
      <c r="R126" s="111">
        <v>74.68</v>
      </c>
      <c r="S126" s="111"/>
      <c r="T126" s="111">
        <v>9.48</v>
      </c>
      <c r="U126" s="111">
        <v>59.59</v>
      </c>
      <c r="V126" s="111"/>
      <c r="W126" s="18">
        <v>13.31</v>
      </c>
      <c r="X126" s="111">
        <v>74.68</v>
      </c>
      <c r="Y126" s="111"/>
      <c r="Z126" s="111">
        <v>9.96</v>
      </c>
      <c r="AA126" s="111">
        <v>57.22</v>
      </c>
      <c r="AB126" s="111"/>
      <c r="AC126" s="18">
        <v>13.31</v>
      </c>
      <c r="AD126" s="111">
        <v>74.68</v>
      </c>
      <c r="AE126" s="111"/>
      <c r="AF126" s="111">
        <v>9.17</v>
      </c>
      <c r="AG126" s="111">
        <v>55.61</v>
      </c>
      <c r="AH126" s="111"/>
      <c r="AI126" s="111"/>
      <c r="AJ126" s="111"/>
      <c r="AK126" s="111"/>
      <c r="AL126" s="111">
        <v>5.65</v>
      </c>
      <c r="AM126" s="111"/>
      <c r="AN126" s="111">
        <v>6.93</v>
      </c>
      <c r="AO126" s="111">
        <v>34.0</v>
      </c>
      <c r="AP126" s="111">
        <v>0.0</v>
      </c>
      <c r="AQ126" s="111">
        <v>0.0</v>
      </c>
      <c r="AR126" s="111">
        <v>0.0</v>
      </c>
      <c r="AS126" s="111"/>
      <c r="AT126" s="142"/>
      <c r="AU126" s="142"/>
      <c r="AV126" s="111">
        <v>12.0</v>
      </c>
      <c r="AW126" s="111"/>
      <c r="AX126" s="111"/>
      <c r="AY126" s="111"/>
      <c r="AZ126" s="111"/>
      <c r="BA126" s="111"/>
      <c r="BB126" s="111">
        <v>5.7</v>
      </c>
      <c r="BC126" s="111"/>
      <c r="BD126" s="111">
        <v>6.97</v>
      </c>
      <c r="BE126" s="111">
        <v>33.0</v>
      </c>
      <c r="BF126" s="111"/>
      <c r="BG126" s="111"/>
      <c r="BH126" s="111"/>
      <c r="BI126" s="111"/>
      <c r="BJ126" s="142"/>
      <c r="BK126" s="111"/>
      <c r="BL126" s="111">
        <v>4.0</v>
      </c>
      <c r="BM126" s="111"/>
      <c r="BN126" s="111"/>
      <c r="BO126" s="111"/>
      <c r="BP126" s="111"/>
      <c r="BQ126" s="111"/>
      <c r="BR126" s="111">
        <v>5.1</v>
      </c>
      <c r="BS126" s="111"/>
      <c r="BT126" s="111">
        <v>6.95</v>
      </c>
      <c r="BU126" s="111">
        <v>32.0</v>
      </c>
      <c r="BV126" s="111"/>
      <c r="BW126" s="111"/>
      <c r="BX126" s="111"/>
      <c r="BY126" s="111"/>
      <c r="BZ126" s="142"/>
      <c r="CA126" s="111"/>
      <c r="CB126" s="111">
        <v>4.0</v>
      </c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>
        <v>6965.0</v>
      </c>
      <c r="CS126" s="111">
        <v>0.0</v>
      </c>
      <c r="CT126" s="111">
        <f t="shared" si="21"/>
        <v>87.0625</v>
      </c>
      <c r="CU126" s="111"/>
      <c r="CV126" s="111">
        <v>0.0</v>
      </c>
      <c r="CW126" s="111"/>
      <c r="CX126" s="111"/>
      <c r="CY126" s="111"/>
      <c r="CZ126" s="111">
        <v>2434.0</v>
      </c>
      <c r="DA126" s="111">
        <v>96.4</v>
      </c>
      <c r="DB126" s="111">
        <v>3.1</v>
      </c>
      <c r="DC126" s="111">
        <v>0.0</v>
      </c>
      <c r="DD126" s="111">
        <v>0.06</v>
      </c>
      <c r="DE126" s="111"/>
      <c r="DF126" s="111">
        <f t="shared" si="22"/>
        <v>34.94615937</v>
      </c>
      <c r="DG126" s="111"/>
      <c r="DH126" s="111"/>
      <c r="DI126" s="111"/>
      <c r="DJ126" s="111"/>
      <c r="DK126" s="111"/>
      <c r="DL126" s="111"/>
      <c r="DM126" s="111">
        <v>10.4</v>
      </c>
      <c r="DN126" s="149">
        <f t="shared" si="24"/>
        <v>167.8</v>
      </c>
      <c r="DO126" s="111">
        <v>12.0</v>
      </c>
      <c r="DP126" s="111"/>
      <c r="DQ126" s="111"/>
      <c r="DR126" s="111"/>
      <c r="DS126" s="111"/>
      <c r="DT126" s="111"/>
      <c r="DU126" s="111"/>
      <c r="DV126" s="111"/>
      <c r="DW126" s="111">
        <v>5895.0</v>
      </c>
      <c r="DX126" s="111">
        <f t="shared" si="23"/>
        <v>2.421939195</v>
      </c>
      <c r="DY126" s="111">
        <v>45.0</v>
      </c>
      <c r="DZ126" s="111"/>
      <c r="EA126" s="111"/>
      <c r="EB126" s="111"/>
      <c r="EC126" s="111"/>
      <c r="ED126" s="111">
        <v>15.3</v>
      </c>
      <c r="EE126" s="111"/>
      <c r="EF126" s="111"/>
      <c r="EG126" s="111"/>
      <c r="EH126" s="111"/>
      <c r="EI126" s="111"/>
      <c r="EJ126" s="111"/>
      <c r="EK126" s="147"/>
      <c r="EL126" s="111"/>
    </row>
    <row r="127" ht="17.25" customHeight="1">
      <c r="A127" s="148">
        <v>46032.0</v>
      </c>
      <c r="B127" s="111">
        <v>0.0</v>
      </c>
      <c r="C127" s="111"/>
      <c r="D127" s="111"/>
      <c r="E127" s="111">
        <v>80.0</v>
      </c>
      <c r="F127" s="111">
        <v>31.28</v>
      </c>
      <c r="G127" s="111">
        <v>71.89</v>
      </c>
      <c r="H127" s="111"/>
      <c r="I127" s="111"/>
      <c r="J127" s="111"/>
      <c r="K127" s="111">
        <f>109</f>
        <v>109</v>
      </c>
      <c r="L127" s="111"/>
      <c r="M127" s="18">
        <v>11.89</v>
      </c>
      <c r="N127" s="18">
        <v>75.18</v>
      </c>
      <c r="O127" s="111"/>
      <c r="P127" s="111"/>
      <c r="Q127" s="18">
        <v>11.89</v>
      </c>
      <c r="R127" s="18">
        <v>75.18</v>
      </c>
      <c r="S127" s="111"/>
      <c r="T127" s="111">
        <v>9.46</v>
      </c>
      <c r="U127" s="111">
        <v>60.99</v>
      </c>
      <c r="V127" s="111"/>
      <c r="W127" s="18">
        <v>11.89</v>
      </c>
      <c r="X127" s="18">
        <v>75.18</v>
      </c>
      <c r="Y127" s="111"/>
      <c r="Z127" s="111">
        <v>10.8</v>
      </c>
      <c r="AA127" s="111">
        <v>50.09</v>
      </c>
      <c r="AB127" s="111"/>
      <c r="AC127" s="18">
        <v>11.89</v>
      </c>
      <c r="AD127" s="18">
        <v>75.18</v>
      </c>
      <c r="AE127" s="111"/>
      <c r="AF127" s="111">
        <v>9.28</v>
      </c>
      <c r="AG127" s="111">
        <v>55.71</v>
      </c>
      <c r="AH127" s="111"/>
      <c r="AI127" s="111"/>
      <c r="AJ127" s="111"/>
      <c r="AK127" s="111"/>
      <c r="AL127" s="111">
        <v>5.77</v>
      </c>
      <c r="AM127" s="111"/>
      <c r="AN127" s="111">
        <v>6.9</v>
      </c>
      <c r="AO127" s="111">
        <v>34.0</v>
      </c>
      <c r="AP127" s="111">
        <v>0.0</v>
      </c>
      <c r="AQ127" s="111">
        <v>0.0</v>
      </c>
      <c r="AR127" s="111">
        <v>0.0</v>
      </c>
      <c r="AS127" s="111"/>
      <c r="AT127" s="142"/>
      <c r="AU127" s="142"/>
      <c r="AV127" s="111">
        <v>12.0</v>
      </c>
      <c r="AW127" s="111"/>
      <c r="AX127" s="111"/>
      <c r="AY127" s="111"/>
      <c r="AZ127" s="111"/>
      <c r="BA127" s="111"/>
      <c r="BB127" s="111">
        <v>5.41</v>
      </c>
      <c r="BC127" s="111"/>
      <c r="BD127" s="111">
        <v>6.92</v>
      </c>
      <c r="BE127" s="111">
        <v>33.0</v>
      </c>
      <c r="BF127" s="111"/>
      <c r="BG127" s="111"/>
      <c r="BH127" s="111"/>
      <c r="BI127" s="111"/>
      <c r="BJ127" s="142"/>
      <c r="BK127" s="111"/>
      <c r="BL127" s="111">
        <v>4.0</v>
      </c>
      <c r="BM127" s="111"/>
      <c r="BN127" s="111"/>
      <c r="BO127" s="111"/>
      <c r="BP127" s="111"/>
      <c r="BQ127" s="111"/>
      <c r="BR127" s="111">
        <v>5.17</v>
      </c>
      <c r="BS127" s="111"/>
      <c r="BT127" s="111">
        <v>6.94</v>
      </c>
      <c r="BU127" s="111">
        <v>32.0</v>
      </c>
      <c r="BV127" s="111"/>
      <c r="BW127" s="111"/>
      <c r="BX127" s="111"/>
      <c r="BY127" s="111"/>
      <c r="BZ127" s="142"/>
      <c r="CA127" s="111"/>
      <c r="CB127" s="111">
        <v>4.0</v>
      </c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>
        <v>6949.0</v>
      </c>
      <c r="CS127" s="111">
        <v>0.0</v>
      </c>
      <c r="CT127" s="111">
        <f t="shared" si="21"/>
        <v>86.8625</v>
      </c>
      <c r="CU127" s="111"/>
      <c r="CV127" s="111">
        <v>44.0</v>
      </c>
      <c r="CW127" s="111"/>
      <c r="CX127" s="111"/>
      <c r="CY127" s="111"/>
      <c r="CZ127" s="111">
        <v>2325.0</v>
      </c>
      <c r="DA127" s="111">
        <v>95.744</v>
      </c>
      <c r="DB127" s="111">
        <v>3.106</v>
      </c>
      <c r="DC127" s="111">
        <v>5.0</v>
      </c>
      <c r="DD127" s="111">
        <v>0.1</v>
      </c>
      <c r="DE127" s="111">
        <v>1.0</v>
      </c>
      <c r="DF127" s="111">
        <f t="shared" si="22"/>
        <v>33.45805152</v>
      </c>
      <c r="DG127" s="111"/>
      <c r="DH127" s="111"/>
      <c r="DI127" s="111"/>
      <c r="DJ127" s="111"/>
      <c r="DK127" s="111"/>
      <c r="DL127" s="111"/>
      <c r="DM127" s="111">
        <v>6.2</v>
      </c>
      <c r="DN127" s="149">
        <f t="shared" si="24"/>
        <v>162</v>
      </c>
      <c r="DO127" s="111">
        <v>16.0</v>
      </c>
      <c r="DP127" s="111"/>
      <c r="DQ127" s="111"/>
      <c r="DR127" s="111"/>
      <c r="DS127" s="111"/>
      <c r="DT127" s="111"/>
      <c r="DU127" s="111"/>
      <c r="DV127" s="111"/>
      <c r="DW127" s="111">
        <v>5370.0</v>
      </c>
      <c r="DX127" s="111">
        <f t="shared" si="23"/>
        <v>2.309677419</v>
      </c>
      <c r="DY127" s="111">
        <v>45.0</v>
      </c>
      <c r="DZ127" s="111"/>
      <c r="EA127" s="111"/>
      <c r="EB127" s="111"/>
      <c r="EC127" s="111"/>
      <c r="ED127" s="111">
        <v>16.2</v>
      </c>
      <c r="EE127" s="111"/>
      <c r="EF127" s="111"/>
      <c r="EG127" s="111"/>
      <c r="EH127" s="111"/>
      <c r="EI127" s="111"/>
      <c r="EJ127" s="111"/>
      <c r="EK127" s="147"/>
      <c r="EL127" s="111"/>
    </row>
    <row r="128" ht="17.25" customHeight="1">
      <c r="A128" s="148">
        <v>46033.0</v>
      </c>
      <c r="B128" s="111">
        <v>0.0</v>
      </c>
      <c r="C128" s="111"/>
      <c r="D128" s="111"/>
      <c r="E128" s="111">
        <v>80.0</v>
      </c>
      <c r="F128" s="111">
        <v>0.0</v>
      </c>
      <c r="G128" s="111">
        <v>0.0</v>
      </c>
      <c r="H128" s="111"/>
      <c r="I128" s="111"/>
      <c r="J128" s="111"/>
      <c r="K128" s="111">
        <f>60+42+10</f>
        <v>112</v>
      </c>
      <c r="L128" s="111"/>
      <c r="M128" s="111">
        <v>0.0</v>
      </c>
      <c r="N128" s="111">
        <v>0.0</v>
      </c>
      <c r="O128" s="111"/>
      <c r="P128" s="111"/>
      <c r="Q128" s="111">
        <v>0.0</v>
      </c>
      <c r="R128" s="111">
        <v>0.0</v>
      </c>
      <c r="S128" s="111"/>
      <c r="T128" s="111">
        <v>0.0</v>
      </c>
      <c r="U128" s="111">
        <v>0.0</v>
      </c>
      <c r="V128" s="111"/>
      <c r="W128" s="111">
        <v>0.0</v>
      </c>
      <c r="X128" s="111">
        <v>0.0</v>
      </c>
      <c r="Y128" s="111"/>
      <c r="Z128" s="111">
        <v>0.0</v>
      </c>
      <c r="AA128" s="111">
        <v>0.0</v>
      </c>
      <c r="AB128" s="111"/>
      <c r="AC128" s="111">
        <v>0.0</v>
      </c>
      <c r="AD128" s="111">
        <v>0.0</v>
      </c>
      <c r="AE128" s="111"/>
      <c r="AF128" s="111">
        <v>0.0</v>
      </c>
      <c r="AG128" s="111">
        <v>0.0</v>
      </c>
      <c r="AH128" s="111"/>
      <c r="AI128" s="111"/>
      <c r="AJ128" s="111"/>
      <c r="AK128" s="111"/>
      <c r="AL128" s="111">
        <v>0.0</v>
      </c>
      <c r="AM128" s="111"/>
      <c r="AN128" s="111">
        <v>0.0</v>
      </c>
      <c r="AO128" s="111">
        <v>0.0</v>
      </c>
      <c r="AP128" s="111">
        <v>0.0</v>
      </c>
      <c r="AQ128" s="111">
        <v>0.0</v>
      </c>
      <c r="AR128" s="111">
        <v>0.0</v>
      </c>
      <c r="AS128" s="111"/>
      <c r="AT128" s="142"/>
      <c r="AU128" s="142"/>
      <c r="AV128" s="111">
        <v>12.0</v>
      </c>
      <c r="AW128" s="111"/>
      <c r="AX128" s="111"/>
      <c r="AY128" s="111"/>
      <c r="AZ128" s="111"/>
      <c r="BA128" s="111"/>
      <c r="BB128" s="111">
        <v>0.0</v>
      </c>
      <c r="BC128" s="111"/>
      <c r="BD128" s="111">
        <v>0.0</v>
      </c>
      <c r="BE128" s="111">
        <v>0.0</v>
      </c>
      <c r="BF128" s="111"/>
      <c r="BG128" s="111"/>
      <c r="BH128" s="111"/>
      <c r="BI128" s="111"/>
      <c r="BJ128" s="142"/>
      <c r="BK128" s="111"/>
      <c r="BL128" s="111">
        <v>4.0</v>
      </c>
      <c r="BM128" s="111"/>
      <c r="BN128" s="111"/>
      <c r="BO128" s="111"/>
      <c r="BP128" s="111"/>
      <c r="BQ128" s="111"/>
      <c r="BR128" s="111">
        <v>0.0</v>
      </c>
      <c r="BS128" s="111"/>
      <c r="BT128" s="111">
        <v>0.0</v>
      </c>
      <c r="BU128" s="111">
        <v>0.0</v>
      </c>
      <c r="BV128" s="111"/>
      <c r="BW128" s="111"/>
      <c r="BX128" s="111"/>
      <c r="BY128" s="111"/>
      <c r="BZ128" s="142"/>
      <c r="CA128" s="111"/>
      <c r="CB128" s="111">
        <v>4.0</v>
      </c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>
        <v>7847.0</v>
      </c>
      <c r="CS128" s="111">
        <v>0.0</v>
      </c>
      <c r="CT128" s="111">
        <f t="shared" si="21"/>
        <v>98.0875</v>
      </c>
      <c r="CU128" s="111"/>
      <c r="CV128" s="111">
        <v>0.0</v>
      </c>
      <c r="CW128" s="111"/>
      <c r="CX128" s="111"/>
      <c r="CY128" s="111"/>
      <c r="CZ128" s="111">
        <v>3009.0</v>
      </c>
      <c r="DA128" s="111">
        <v>96.4</v>
      </c>
      <c r="DB128" s="111">
        <v>2.1</v>
      </c>
      <c r="DC128" s="111">
        <v>2.0</v>
      </c>
      <c r="DD128" s="111">
        <v>0.08</v>
      </c>
      <c r="DE128" s="111">
        <v>2.0</v>
      </c>
      <c r="DF128" s="111">
        <f t="shared" si="22"/>
        <v>38.34586466</v>
      </c>
      <c r="DG128" s="111"/>
      <c r="DH128" s="111"/>
      <c r="DI128" s="111"/>
      <c r="DJ128" s="111"/>
      <c r="DK128" s="111"/>
      <c r="DL128" s="111"/>
      <c r="DM128" s="111">
        <v>8.6</v>
      </c>
      <c r="DN128" s="149">
        <f t="shared" si="24"/>
        <v>154.6</v>
      </c>
      <c r="DO128" s="111">
        <v>0.0</v>
      </c>
      <c r="DP128" s="111"/>
      <c r="DQ128" s="111"/>
      <c r="DR128" s="111"/>
      <c r="DS128" s="111"/>
      <c r="DT128" s="111"/>
      <c r="DU128" s="111"/>
      <c r="DV128" s="111"/>
      <c r="DW128" s="111">
        <v>6000.0</v>
      </c>
      <c r="DX128" s="111">
        <f t="shared" si="23"/>
        <v>1.994017946</v>
      </c>
      <c r="DY128" s="111">
        <v>45.0</v>
      </c>
      <c r="DZ128" s="111"/>
      <c r="EA128" s="111"/>
      <c r="EB128" s="111"/>
      <c r="EC128" s="111"/>
      <c r="ED128" s="111">
        <v>22.05</v>
      </c>
      <c r="EE128" s="111"/>
      <c r="EF128" s="111"/>
      <c r="EG128" s="111"/>
      <c r="EH128" s="111"/>
      <c r="EI128" s="111"/>
      <c r="EJ128" s="111"/>
      <c r="EK128" s="147"/>
      <c r="EL128" s="111"/>
    </row>
    <row r="129" ht="17.25" customHeight="1">
      <c r="A129" s="148">
        <v>46034.0</v>
      </c>
      <c r="B129" s="111">
        <v>0.0</v>
      </c>
      <c r="C129" s="111"/>
      <c r="D129" s="111"/>
      <c r="E129" s="111">
        <v>80.0</v>
      </c>
      <c r="F129" s="111">
        <v>28.79</v>
      </c>
      <c r="G129" s="111">
        <v>80.96</v>
      </c>
      <c r="H129" s="111"/>
      <c r="I129" s="111"/>
      <c r="J129" s="111"/>
      <c r="K129" s="111">
        <f>60+52</f>
        <v>112</v>
      </c>
      <c r="L129" s="111"/>
      <c r="M129" s="111">
        <v>11.2</v>
      </c>
      <c r="N129" s="111">
        <v>73.03</v>
      </c>
      <c r="O129" s="111"/>
      <c r="P129" s="111"/>
      <c r="Q129" s="111">
        <v>11.2</v>
      </c>
      <c r="R129" s="111">
        <v>73.03</v>
      </c>
      <c r="S129" s="111"/>
      <c r="T129" s="111">
        <v>9.47</v>
      </c>
      <c r="U129" s="111">
        <v>60.19</v>
      </c>
      <c r="V129" s="111"/>
      <c r="W129" s="111">
        <v>11.2</v>
      </c>
      <c r="X129" s="111">
        <v>73.03</v>
      </c>
      <c r="Y129" s="111"/>
      <c r="Z129" s="111">
        <v>10.26</v>
      </c>
      <c r="AA129" s="111">
        <v>55.36</v>
      </c>
      <c r="AB129" s="111"/>
      <c r="AC129" s="111">
        <v>11.2</v>
      </c>
      <c r="AD129" s="111">
        <v>73.03</v>
      </c>
      <c r="AE129" s="111"/>
      <c r="AF129" s="111">
        <v>9.22</v>
      </c>
      <c r="AG129" s="111">
        <v>56.5</v>
      </c>
      <c r="AH129" s="111"/>
      <c r="AI129" s="111"/>
      <c r="AJ129" s="111"/>
      <c r="AK129" s="111"/>
      <c r="AL129" s="111">
        <v>5.7</v>
      </c>
      <c r="AM129" s="111"/>
      <c r="AN129" s="111">
        <v>6.96</v>
      </c>
      <c r="AO129" s="111">
        <v>34.0</v>
      </c>
      <c r="AP129" s="111">
        <v>0.0</v>
      </c>
      <c r="AQ129" s="111">
        <v>0.0</v>
      </c>
      <c r="AR129" s="111">
        <v>0.0</v>
      </c>
      <c r="AS129" s="111"/>
      <c r="AT129" s="142"/>
      <c r="AU129" s="142"/>
      <c r="AV129" s="111">
        <v>12.0</v>
      </c>
      <c r="AW129" s="111"/>
      <c r="AX129" s="111"/>
      <c r="AY129" s="111"/>
      <c r="AZ129" s="111"/>
      <c r="BA129" s="111"/>
      <c r="BB129" s="111">
        <v>5.68</v>
      </c>
      <c r="BC129" s="111"/>
      <c r="BD129" s="111">
        <v>6.97</v>
      </c>
      <c r="BE129" s="111">
        <v>33.0</v>
      </c>
      <c r="BF129" s="111"/>
      <c r="BG129" s="111"/>
      <c r="BH129" s="111"/>
      <c r="BI129" s="111"/>
      <c r="BJ129" s="142"/>
      <c r="BK129" s="111"/>
      <c r="BL129" s="111">
        <v>4.0</v>
      </c>
      <c r="BM129" s="111"/>
      <c r="BN129" s="111"/>
      <c r="BO129" s="111"/>
      <c r="BP129" s="111"/>
      <c r="BQ129" s="111"/>
      <c r="BR129" s="111">
        <v>5.21</v>
      </c>
      <c r="BS129" s="111"/>
      <c r="BT129" s="111">
        <v>6.98</v>
      </c>
      <c r="BU129" s="111">
        <v>32.0</v>
      </c>
      <c r="BV129" s="111"/>
      <c r="BW129" s="111"/>
      <c r="BX129" s="111"/>
      <c r="BY129" s="111"/>
      <c r="BZ129" s="142"/>
      <c r="CA129" s="111"/>
      <c r="CB129" s="111">
        <v>4.0</v>
      </c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>
        <v>7399.0</v>
      </c>
      <c r="CS129" s="111">
        <v>0.0</v>
      </c>
      <c r="CT129" s="111">
        <f t="shared" si="21"/>
        <v>92.4875</v>
      </c>
      <c r="CU129" s="111"/>
      <c r="CV129" s="111">
        <v>43.0</v>
      </c>
      <c r="CW129" s="111"/>
      <c r="CX129" s="111"/>
      <c r="CY129" s="111"/>
      <c r="CZ129" s="111">
        <v>2740.0</v>
      </c>
      <c r="DA129" s="111">
        <v>96.6</v>
      </c>
      <c r="DB129" s="111">
        <v>3.1</v>
      </c>
      <c r="DC129" s="111">
        <v>1.0</v>
      </c>
      <c r="DD129" s="111">
        <v>0.04</v>
      </c>
      <c r="DE129" s="111">
        <v>1.0</v>
      </c>
      <c r="DF129" s="111">
        <f t="shared" si="22"/>
        <v>37.03203136</v>
      </c>
      <c r="DG129" s="111"/>
      <c r="DH129" s="111"/>
      <c r="DI129" s="111"/>
      <c r="DJ129" s="111"/>
      <c r="DK129" s="111"/>
      <c r="DL129" s="111"/>
      <c r="DM129" s="111">
        <v>4.0</v>
      </c>
      <c r="DN129" s="149">
        <f t="shared" si="24"/>
        <v>158.6</v>
      </c>
      <c r="DO129" s="111">
        <v>0.0</v>
      </c>
      <c r="DP129" s="111"/>
      <c r="DQ129" s="111"/>
      <c r="DR129" s="111"/>
      <c r="DS129" s="111"/>
      <c r="DT129" s="111"/>
      <c r="DU129" s="111"/>
      <c r="DV129" s="111"/>
      <c r="DW129" s="111">
        <v>6465.0</v>
      </c>
      <c r="DX129" s="111">
        <f t="shared" si="23"/>
        <v>2.359489051</v>
      </c>
      <c r="DY129" s="111">
        <v>45.0</v>
      </c>
      <c r="DZ129" s="111"/>
      <c r="EA129" s="111"/>
      <c r="EB129" s="111"/>
      <c r="EC129" s="111"/>
      <c r="ED129" s="111">
        <v>20.35</v>
      </c>
      <c r="EE129" s="111"/>
      <c r="EF129" s="111"/>
      <c r="EG129" s="111"/>
      <c r="EH129" s="111"/>
      <c r="EI129" s="111"/>
      <c r="EJ129" s="111"/>
      <c r="EK129" s="147"/>
      <c r="EL129" s="111"/>
    </row>
    <row r="130" ht="17.25" customHeight="1">
      <c r="A130" s="148">
        <v>46035.0</v>
      </c>
      <c r="B130" s="111">
        <v>0.0</v>
      </c>
      <c r="C130" s="111"/>
      <c r="D130" s="111"/>
      <c r="E130" s="111">
        <v>80.0</v>
      </c>
      <c r="F130" s="111">
        <v>32.66</v>
      </c>
      <c r="G130" s="111">
        <v>79.94</v>
      </c>
      <c r="H130" s="111"/>
      <c r="I130" s="111"/>
      <c r="J130" s="111"/>
      <c r="K130" s="111">
        <f>77+35</f>
        <v>112</v>
      </c>
      <c r="L130" s="111"/>
      <c r="M130" s="111">
        <v>10.07</v>
      </c>
      <c r="N130" s="111">
        <v>71.49</v>
      </c>
      <c r="O130" s="111"/>
      <c r="P130" s="111"/>
      <c r="Q130" s="111">
        <v>10.07</v>
      </c>
      <c r="R130" s="111">
        <v>71.49</v>
      </c>
      <c r="S130" s="111"/>
      <c r="T130" s="111">
        <v>10.55</v>
      </c>
      <c r="U130" s="111">
        <v>65.02</v>
      </c>
      <c r="V130" s="111"/>
      <c r="W130" s="111">
        <v>10.07</v>
      </c>
      <c r="X130" s="111">
        <v>71.49</v>
      </c>
      <c r="Y130" s="111"/>
      <c r="Z130" s="111">
        <v>9.86</v>
      </c>
      <c r="AA130" s="111">
        <v>58.41</v>
      </c>
      <c r="AB130" s="111"/>
      <c r="AC130" s="111">
        <v>10.07</v>
      </c>
      <c r="AD130" s="111">
        <v>71.49</v>
      </c>
      <c r="AE130" s="111"/>
      <c r="AF130" s="111">
        <v>9.16</v>
      </c>
      <c r="AG130" s="111">
        <v>56.33</v>
      </c>
      <c r="AH130" s="111"/>
      <c r="AI130" s="111"/>
      <c r="AJ130" s="111"/>
      <c r="AK130" s="111"/>
      <c r="AL130" s="111">
        <v>6.86</v>
      </c>
      <c r="AM130" s="111"/>
      <c r="AN130" s="111">
        <v>6.95</v>
      </c>
      <c r="AO130" s="111">
        <v>34.0</v>
      </c>
      <c r="AP130" s="111">
        <v>0.0</v>
      </c>
      <c r="AQ130" s="111">
        <v>0.0</v>
      </c>
      <c r="AR130" s="111">
        <v>0.0</v>
      </c>
      <c r="AS130" s="111"/>
      <c r="AT130" s="142"/>
      <c r="AU130" s="142"/>
      <c r="AV130" s="111">
        <v>12.0</v>
      </c>
      <c r="AW130" s="111"/>
      <c r="AX130" s="111"/>
      <c r="AY130" s="111"/>
      <c r="AZ130" s="111"/>
      <c r="BA130" s="111"/>
      <c r="BB130" s="111">
        <v>5.76</v>
      </c>
      <c r="BC130" s="111"/>
      <c r="BD130" s="111">
        <v>6.93</v>
      </c>
      <c r="BE130" s="111">
        <v>33.0</v>
      </c>
      <c r="BF130" s="111"/>
      <c r="BG130" s="111"/>
      <c r="BH130" s="111"/>
      <c r="BI130" s="111"/>
      <c r="BJ130" s="142"/>
      <c r="BK130" s="111"/>
      <c r="BL130" s="111">
        <v>4.0</v>
      </c>
      <c r="BM130" s="111"/>
      <c r="BN130" s="111"/>
      <c r="BO130" s="111"/>
      <c r="BP130" s="111"/>
      <c r="BQ130" s="111"/>
      <c r="BR130" s="111">
        <v>5.16</v>
      </c>
      <c r="BS130" s="111"/>
      <c r="BT130" s="111">
        <v>6.99</v>
      </c>
      <c r="BU130" s="111">
        <v>32.0</v>
      </c>
      <c r="BV130" s="111"/>
      <c r="BW130" s="111"/>
      <c r="BX130" s="111"/>
      <c r="BY130" s="111"/>
      <c r="BZ130" s="142"/>
      <c r="CA130" s="111"/>
      <c r="CB130" s="111">
        <v>4.0</v>
      </c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>
        <v>7720.0</v>
      </c>
      <c r="CS130" s="111">
        <v>0.0</v>
      </c>
      <c r="CT130" s="111">
        <f t="shared" si="21"/>
        <v>96.5</v>
      </c>
      <c r="CU130" s="111"/>
      <c r="CV130" s="111">
        <v>40.0</v>
      </c>
      <c r="CW130" s="111"/>
      <c r="CX130" s="111"/>
      <c r="CY130" s="111"/>
      <c r="CZ130" s="111">
        <v>3070.0</v>
      </c>
      <c r="DA130" s="111">
        <v>97.0</v>
      </c>
      <c r="DB130" s="111">
        <v>2.2</v>
      </c>
      <c r="DC130" s="111">
        <v>1.0</v>
      </c>
      <c r="DD130" s="111">
        <v>0.06</v>
      </c>
      <c r="DE130" s="111">
        <v>1.0</v>
      </c>
      <c r="DF130" s="111">
        <f t="shared" si="22"/>
        <v>39.76683938</v>
      </c>
      <c r="DG130" s="111"/>
      <c r="DH130" s="111"/>
      <c r="DI130" s="111"/>
      <c r="DJ130" s="111"/>
      <c r="DK130" s="111"/>
      <c r="DL130" s="111"/>
      <c r="DM130" s="111">
        <v>5.0</v>
      </c>
      <c r="DN130" s="149">
        <f t="shared" si="24"/>
        <v>163.6</v>
      </c>
      <c r="DO130" s="111">
        <v>25.0</v>
      </c>
      <c r="DP130" s="111"/>
      <c r="DQ130" s="111"/>
      <c r="DR130" s="111"/>
      <c r="DS130" s="111"/>
      <c r="DT130" s="111"/>
      <c r="DU130" s="111"/>
      <c r="DV130" s="111"/>
      <c r="DW130" s="111">
        <v>6585.0</v>
      </c>
      <c r="DX130" s="111">
        <f t="shared" si="23"/>
        <v>2.14495114</v>
      </c>
      <c r="DY130" s="111">
        <v>45.0</v>
      </c>
      <c r="DZ130" s="111"/>
      <c r="EA130" s="111"/>
      <c r="EB130" s="111"/>
      <c r="EC130" s="111"/>
      <c r="ED130" s="111">
        <v>21.4</v>
      </c>
      <c r="EE130" s="111"/>
      <c r="EF130" s="111"/>
      <c r="EG130" s="111"/>
      <c r="EH130" s="111"/>
      <c r="EI130" s="111"/>
      <c r="EJ130" s="111"/>
      <c r="EK130" s="147"/>
      <c r="EL130" s="111"/>
    </row>
    <row r="131" ht="17.25" customHeight="1">
      <c r="A131" s="148">
        <v>46036.0</v>
      </c>
      <c r="B131" s="111">
        <v>0.0</v>
      </c>
      <c r="C131" s="111"/>
      <c r="D131" s="111"/>
      <c r="E131" s="111">
        <v>80.0</v>
      </c>
      <c r="F131" s="111">
        <v>30.7</v>
      </c>
      <c r="G131" s="111">
        <v>70.39</v>
      </c>
      <c r="H131" s="111"/>
      <c r="I131" s="111"/>
      <c r="J131" s="111"/>
      <c r="K131" s="111">
        <f>84+30</f>
        <v>114</v>
      </c>
      <c r="L131" s="111"/>
      <c r="M131" s="111">
        <v>10.71</v>
      </c>
      <c r="N131" s="111">
        <v>70.4</v>
      </c>
      <c r="O131" s="111"/>
      <c r="P131" s="111"/>
      <c r="Q131" s="111">
        <v>10.71</v>
      </c>
      <c r="R131" s="111">
        <v>70.4</v>
      </c>
      <c r="S131" s="111"/>
      <c r="T131" s="111">
        <v>9.25</v>
      </c>
      <c r="U131" s="111">
        <v>61.29</v>
      </c>
      <c r="V131" s="111"/>
      <c r="W131" s="111">
        <v>10.71</v>
      </c>
      <c r="X131" s="111">
        <v>70.4</v>
      </c>
      <c r="Y131" s="111"/>
      <c r="Z131" s="111">
        <v>11.82</v>
      </c>
      <c r="AA131" s="111">
        <v>47.29</v>
      </c>
      <c r="AB131" s="111"/>
      <c r="AC131" s="111">
        <v>10.71</v>
      </c>
      <c r="AD131" s="111">
        <v>70.4</v>
      </c>
      <c r="AE131" s="111"/>
      <c r="AF131" s="111">
        <v>9.16</v>
      </c>
      <c r="AG131" s="111">
        <v>57.75</v>
      </c>
      <c r="AH131" s="111"/>
      <c r="AI131" s="111"/>
      <c r="AJ131" s="111"/>
      <c r="AK131" s="111"/>
      <c r="AL131" s="111">
        <v>5.67</v>
      </c>
      <c r="AM131" s="111"/>
      <c r="AN131" s="111">
        <v>6.93</v>
      </c>
      <c r="AO131" s="111">
        <v>34.0</v>
      </c>
      <c r="AP131" s="111">
        <v>0.0</v>
      </c>
      <c r="AQ131" s="111">
        <v>0.0</v>
      </c>
      <c r="AR131" s="111">
        <v>0.0</v>
      </c>
      <c r="AS131" s="111"/>
      <c r="AT131" s="142"/>
      <c r="AU131" s="142"/>
      <c r="AV131" s="111">
        <v>12.0</v>
      </c>
      <c r="AW131" s="111"/>
      <c r="AX131" s="111"/>
      <c r="AY131" s="111"/>
      <c r="AZ131" s="111"/>
      <c r="BA131" s="111"/>
      <c r="BB131" s="111">
        <v>5.59</v>
      </c>
      <c r="BC131" s="111"/>
      <c r="BD131" s="111">
        <v>6.91</v>
      </c>
      <c r="BE131" s="111">
        <v>33.5</v>
      </c>
      <c r="BF131" s="111"/>
      <c r="BG131" s="111"/>
      <c r="BH131" s="111"/>
      <c r="BI131" s="111"/>
      <c r="BJ131" s="142"/>
      <c r="BK131" s="111"/>
      <c r="BL131" s="111">
        <v>4.0</v>
      </c>
      <c r="BM131" s="111"/>
      <c r="BN131" s="111"/>
      <c r="BO131" s="111"/>
      <c r="BP131" s="111"/>
      <c r="BQ131" s="111"/>
      <c r="BR131" s="111">
        <v>5.29</v>
      </c>
      <c r="BS131" s="111"/>
      <c r="BT131" s="111">
        <v>6.95</v>
      </c>
      <c r="BU131" s="111">
        <v>32.5</v>
      </c>
      <c r="BV131" s="111"/>
      <c r="BW131" s="111"/>
      <c r="BX131" s="111"/>
      <c r="BY131" s="111"/>
      <c r="BZ131" s="142"/>
      <c r="CA131" s="111"/>
      <c r="CB131" s="111">
        <v>4.0</v>
      </c>
      <c r="CC131" s="111"/>
      <c r="CD131" s="111"/>
      <c r="CE131" s="111"/>
      <c r="CF131" s="111"/>
      <c r="CG131" s="111"/>
      <c r="CH131" s="111"/>
      <c r="CI131" s="111"/>
      <c r="CJ131" s="111"/>
      <c r="CK131" s="111"/>
      <c r="CL131" s="111"/>
      <c r="CM131" s="111"/>
      <c r="CN131" s="111"/>
      <c r="CO131" s="111"/>
      <c r="CP131" s="111"/>
      <c r="CQ131" s="111"/>
      <c r="CR131" s="111">
        <v>7283.0</v>
      </c>
      <c r="CS131" s="111">
        <v>0.0</v>
      </c>
      <c r="CT131" s="111">
        <f t="shared" si="21"/>
        <v>91.0375</v>
      </c>
      <c r="CU131" s="111"/>
      <c r="CV131" s="111">
        <v>40.0</v>
      </c>
      <c r="CW131" s="111"/>
      <c r="CX131" s="111"/>
      <c r="CY131" s="111"/>
      <c r="CZ131" s="111">
        <v>2839.0</v>
      </c>
      <c r="DA131" s="111">
        <v>96.4</v>
      </c>
      <c r="DB131" s="111">
        <v>3.1</v>
      </c>
      <c r="DC131" s="111">
        <v>0.0</v>
      </c>
      <c r="DD131" s="111">
        <v>0.06</v>
      </c>
      <c r="DE131" s="111">
        <v>1.0</v>
      </c>
      <c r="DF131" s="111">
        <f t="shared" si="22"/>
        <v>38.98118907</v>
      </c>
      <c r="DG131" s="111"/>
      <c r="DH131" s="111"/>
      <c r="DI131" s="111"/>
      <c r="DJ131" s="111"/>
      <c r="DK131" s="111"/>
      <c r="DL131" s="111"/>
      <c r="DM131" s="111">
        <v>6.2</v>
      </c>
      <c r="DN131" s="149">
        <f t="shared" si="24"/>
        <v>144.8</v>
      </c>
      <c r="DO131" s="111">
        <v>18.0</v>
      </c>
      <c r="DP131" s="111"/>
      <c r="DQ131" s="111"/>
      <c r="DR131" s="111"/>
      <c r="DS131" s="111"/>
      <c r="DT131" s="111"/>
      <c r="DU131" s="111"/>
      <c r="DV131" s="111"/>
      <c r="DW131" s="111">
        <v>6405.0</v>
      </c>
      <c r="DX131" s="111">
        <f t="shared" si="23"/>
        <v>2.256076083</v>
      </c>
      <c r="DY131" s="111">
        <v>45.0</v>
      </c>
      <c r="DZ131" s="111"/>
      <c r="EA131" s="111"/>
      <c r="EB131" s="111"/>
      <c r="EC131" s="111"/>
      <c r="ED131" s="111">
        <v>20.27</v>
      </c>
      <c r="EE131" s="111"/>
      <c r="EF131" s="111"/>
      <c r="EG131" s="111"/>
      <c r="EH131" s="111"/>
      <c r="EI131" s="111"/>
      <c r="EJ131" s="111"/>
      <c r="EK131" s="147"/>
      <c r="EL131" s="111"/>
    </row>
    <row r="132" ht="17.25" customHeight="1">
      <c r="A132" s="148">
        <v>46037.0</v>
      </c>
      <c r="B132" s="111">
        <v>0.0</v>
      </c>
      <c r="C132" s="111"/>
      <c r="D132" s="111"/>
      <c r="E132" s="111">
        <v>80.0</v>
      </c>
      <c r="F132" s="111">
        <v>0.0</v>
      </c>
      <c r="G132" s="111">
        <v>0.0</v>
      </c>
      <c r="H132" s="111"/>
      <c r="I132" s="111"/>
      <c r="J132" s="111"/>
      <c r="K132" s="111">
        <f>38+20+46+10</f>
        <v>114</v>
      </c>
      <c r="L132" s="111"/>
      <c r="M132" s="111">
        <v>0.0</v>
      </c>
      <c r="N132" s="111">
        <v>0.0</v>
      </c>
      <c r="O132" s="111"/>
      <c r="P132" s="111"/>
      <c r="Q132" s="111">
        <v>0.0</v>
      </c>
      <c r="R132" s="111">
        <v>0.0</v>
      </c>
      <c r="S132" s="111"/>
      <c r="T132" s="111">
        <v>0.0</v>
      </c>
      <c r="U132" s="111">
        <v>0.0</v>
      </c>
      <c r="V132" s="111"/>
      <c r="W132" s="111">
        <v>0.0</v>
      </c>
      <c r="X132" s="111">
        <v>0.0</v>
      </c>
      <c r="Y132" s="111"/>
      <c r="Z132" s="111">
        <v>0.0</v>
      </c>
      <c r="AA132" s="111">
        <v>0.0</v>
      </c>
      <c r="AB132" s="111"/>
      <c r="AC132" s="111">
        <v>0.0</v>
      </c>
      <c r="AD132" s="111">
        <v>0.0</v>
      </c>
      <c r="AE132" s="111"/>
      <c r="AF132" s="111">
        <v>0.0</v>
      </c>
      <c r="AG132" s="111">
        <v>0.0</v>
      </c>
      <c r="AH132" s="111"/>
      <c r="AI132" s="111"/>
      <c r="AJ132" s="111"/>
      <c r="AK132" s="111"/>
      <c r="AL132" s="111">
        <v>0.0</v>
      </c>
      <c r="AM132" s="111"/>
      <c r="AN132" s="111">
        <v>0.0</v>
      </c>
      <c r="AO132" s="111">
        <v>0.0</v>
      </c>
      <c r="AP132" s="111">
        <v>0.0</v>
      </c>
      <c r="AQ132" s="111">
        <v>0.0</v>
      </c>
      <c r="AR132" s="111">
        <v>0.0</v>
      </c>
      <c r="AS132" s="111"/>
      <c r="AT132" s="142"/>
      <c r="AU132" s="142"/>
      <c r="AV132" s="111">
        <v>12.0</v>
      </c>
      <c r="AW132" s="111"/>
      <c r="AX132" s="111"/>
      <c r="AY132" s="111"/>
      <c r="AZ132" s="111"/>
      <c r="BA132" s="111"/>
      <c r="BB132" s="111">
        <v>0.0</v>
      </c>
      <c r="BC132" s="111"/>
      <c r="BD132" s="111">
        <v>0.0</v>
      </c>
      <c r="BE132" s="111">
        <v>0.0</v>
      </c>
      <c r="BF132" s="111"/>
      <c r="BG132" s="111"/>
      <c r="BH132" s="111"/>
      <c r="BI132" s="111"/>
      <c r="BJ132" s="142"/>
      <c r="BK132" s="111"/>
      <c r="BL132" s="111">
        <v>4.0</v>
      </c>
      <c r="BM132" s="111"/>
      <c r="BN132" s="111"/>
      <c r="BO132" s="111"/>
      <c r="BP132" s="111"/>
      <c r="BQ132" s="111"/>
      <c r="BR132" s="111">
        <v>0.0</v>
      </c>
      <c r="BS132" s="111"/>
      <c r="BT132" s="111">
        <v>0.0</v>
      </c>
      <c r="BU132" s="111">
        <v>0.0</v>
      </c>
      <c r="BV132" s="111"/>
      <c r="BW132" s="111"/>
      <c r="BX132" s="111"/>
      <c r="BY132" s="111"/>
      <c r="BZ132" s="142"/>
      <c r="CA132" s="111"/>
      <c r="CB132" s="111">
        <v>4.0</v>
      </c>
      <c r="CC132" s="111"/>
      <c r="CD132" s="111"/>
      <c r="CE132" s="111"/>
      <c r="CF132" s="111"/>
      <c r="CG132" s="111"/>
      <c r="CH132" s="111"/>
      <c r="CI132" s="111"/>
      <c r="CJ132" s="111"/>
      <c r="CK132" s="111"/>
      <c r="CL132" s="111"/>
      <c r="CM132" s="111"/>
      <c r="CN132" s="111"/>
      <c r="CO132" s="111"/>
      <c r="CP132" s="111"/>
      <c r="CQ132" s="111"/>
      <c r="CR132" s="111">
        <v>5859.0</v>
      </c>
      <c r="CS132" s="111">
        <v>0.0</v>
      </c>
      <c r="CT132" s="111">
        <f t="shared" si="21"/>
        <v>73.2375</v>
      </c>
      <c r="CU132" s="111"/>
      <c r="CV132" s="111">
        <v>0.0</v>
      </c>
      <c r="CW132" s="111"/>
      <c r="CX132" s="111"/>
      <c r="CY132" s="111"/>
      <c r="CZ132" s="111">
        <v>2028.0</v>
      </c>
      <c r="DA132" s="111">
        <v>96.4</v>
      </c>
      <c r="DB132" s="111">
        <v>2.1</v>
      </c>
      <c r="DC132" s="111">
        <v>2.0</v>
      </c>
      <c r="DD132" s="111">
        <v>0.08</v>
      </c>
      <c r="DE132" s="111">
        <v>2.0</v>
      </c>
      <c r="DF132" s="111">
        <f t="shared" si="22"/>
        <v>34.61341526</v>
      </c>
      <c r="DG132" s="111"/>
      <c r="DH132" s="111"/>
      <c r="DI132" s="111"/>
      <c r="DJ132" s="111"/>
      <c r="DK132" s="111"/>
      <c r="DL132" s="111"/>
      <c r="DM132" s="111">
        <v>10.4</v>
      </c>
      <c r="DN132" s="149">
        <f t="shared" si="24"/>
        <v>137.2</v>
      </c>
      <c r="DO132" s="111">
        <v>18.0</v>
      </c>
      <c r="DP132" s="111"/>
      <c r="DQ132" s="111"/>
      <c r="DR132" s="111"/>
      <c r="DS132" s="111"/>
      <c r="DT132" s="111"/>
      <c r="DU132" s="111"/>
      <c r="DV132" s="111"/>
      <c r="DW132" s="111">
        <v>4905.0</v>
      </c>
      <c r="DX132" s="111">
        <f t="shared" si="23"/>
        <v>2.418639053</v>
      </c>
      <c r="DY132" s="111">
        <v>45.0</v>
      </c>
      <c r="DZ132" s="111"/>
      <c r="EA132" s="111"/>
      <c r="EB132" s="111"/>
      <c r="EC132" s="111"/>
      <c r="ED132" s="1">
        <v>20.3</v>
      </c>
      <c r="EE132" s="111"/>
      <c r="EF132" s="111"/>
      <c r="EG132" s="111"/>
      <c r="EH132" s="111"/>
      <c r="EI132" s="111"/>
      <c r="EJ132" s="111"/>
      <c r="EK132" s="147"/>
      <c r="EL132" s="111"/>
    </row>
    <row r="133" ht="17.25" customHeight="1">
      <c r="A133" s="148">
        <v>46038.0</v>
      </c>
      <c r="B133" s="111">
        <v>0.0</v>
      </c>
      <c r="C133" s="111"/>
      <c r="D133" s="111"/>
      <c r="E133" s="111">
        <v>80.0</v>
      </c>
      <c r="F133" s="111">
        <v>32.46</v>
      </c>
      <c r="G133" s="111">
        <v>76.61</v>
      </c>
      <c r="H133" s="111"/>
      <c r="I133" s="111"/>
      <c r="J133" s="111"/>
      <c r="K133" s="111">
        <f>10+39+42+14</f>
        <v>105</v>
      </c>
      <c r="L133" s="111"/>
      <c r="M133" s="111">
        <v>11.33</v>
      </c>
      <c r="N133" s="111">
        <v>69.81</v>
      </c>
      <c r="O133" s="111"/>
      <c r="P133" s="111"/>
      <c r="Q133" s="111">
        <v>11.33</v>
      </c>
      <c r="R133" s="111">
        <v>69.81</v>
      </c>
      <c r="S133" s="111"/>
      <c r="T133" s="111">
        <v>9.13</v>
      </c>
      <c r="U133" s="111">
        <v>60.67</v>
      </c>
      <c r="V133" s="111"/>
      <c r="W133" s="111">
        <v>11.33</v>
      </c>
      <c r="X133" s="111">
        <v>69.81</v>
      </c>
      <c r="Y133" s="111"/>
      <c r="Z133" s="111">
        <v>10.57</v>
      </c>
      <c r="AA133" s="111">
        <v>55.43</v>
      </c>
      <c r="AB133" s="111"/>
      <c r="AC133" s="111">
        <v>11.33</v>
      </c>
      <c r="AD133" s="111">
        <v>69.81</v>
      </c>
      <c r="AE133" s="111"/>
      <c r="AF133" s="111">
        <v>8.99</v>
      </c>
      <c r="AG133" s="111">
        <v>58.06</v>
      </c>
      <c r="AH133" s="111"/>
      <c r="AI133" s="111"/>
      <c r="AJ133" s="111"/>
      <c r="AK133" s="111"/>
      <c r="AL133" s="111">
        <v>5.54</v>
      </c>
      <c r="AM133" s="111"/>
      <c r="AN133" s="111">
        <v>6.98</v>
      </c>
      <c r="AO133" s="111">
        <v>35.0</v>
      </c>
      <c r="AP133" s="111">
        <v>0.0</v>
      </c>
      <c r="AQ133" s="111">
        <v>0.0</v>
      </c>
      <c r="AR133" s="111">
        <v>0.0</v>
      </c>
      <c r="AS133" s="111"/>
      <c r="AT133" s="142"/>
      <c r="AU133" s="142"/>
      <c r="AV133" s="111">
        <v>12.0</v>
      </c>
      <c r="AW133" s="111"/>
      <c r="AX133" s="111"/>
      <c r="AY133" s="111"/>
      <c r="AZ133" s="111"/>
      <c r="BA133" s="111"/>
      <c r="BB133" s="111">
        <v>5.86</v>
      </c>
      <c r="BC133" s="111"/>
      <c r="BD133" s="111">
        <v>6.97</v>
      </c>
      <c r="BE133" s="111">
        <v>34.8</v>
      </c>
      <c r="BF133" s="111"/>
      <c r="BG133" s="111"/>
      <c r="BH133" s="111"/>
      <c r="BI133" s="111"/>
      <c r="BJ133" s="142"/>
      <c r="BK133" s="111"/>
      <c r="BL133" s="111">
        <v>4.0</v>
      </c>
      <c r="BM133" s="111"/>
      <c r="BN133" s="111"/>
      <c r="BO133" s="111"/>
      <c r="BP133" s="111"/>
      <c r="BQ133" s="111"/>
      <c r="BR133" s="111">
        <v>5.22</v>
      </c>
      <c r="BS133" s="111"/>
      <c r="BT133" s="111">
        <v>7.01</v>
      </c>
      <c r="BU133" s="111">
        <v>33.1</v>
      </c>
      <c r="BV133" s="111"/>
      <c r="BW133" s="111"/>
      <c r="BX133" s="111"/>
      <c r="BY133" s="111"/>
      <c r="BZ133" s="142"/>
      <c r="CA133" s="111"/>
      <c r="CB133" s="111">
        <v>4.0</v>
      </c>
      <c r="CC133" s="111"/>
      <c r="CD133" s="111"/>
      <c r="CE133" s="111"/>
      <c r="CF133" s="111"/>
      <c r="CG133" s="111"/>
      <c r="CH133" s="111"/>
      <c r="CI133" s="111"/>
      <c r="CJ133" s="111"/>
      <c r="CK133" s="111"/>
      <c r="CL133" s="111"/>
      <c r="CM133" s="111"/>
      <c r="CN133" s="111"/>
      <c r="CO133" s="111"/>
      <c r="CP133" s="111"/>
      <c r="CQ133" s="111"/>
      <c r="CR133" s="111">
        <v>7398.0</v>
      </c>
      <c r="CS133" s="111">
        <v>0.0</v>
      </c>
      <c r="CT133" s="111">
        <f t="shared" si="21"/>
        <v>92.475</v>
      </c>
      <c r="CU133" s="111"/>
      <c r="CV133" s="111">
        <v>39.0</v>
      </c>
      <c r="CW133" s="111"/>
      <c r="CX133" s="111"/>
      <c r="CY133" s="111"/>
      <c r="CZ133" s="111">
        <v>2885.0</v>
      </c>
      <c r="DA133" s="111">
        <v>96.4</v>
      </c>
      <c r="DB133" s="111">
        <v>2.1</v>
      </c>
      <c r="DC133" s="111">
        <v>2.0</v>
      </c>
      <c r="DD133" s="111">
        <v>0.08</v>
      </c>
      <c r="DE133" s="111">
        <v>2.0</v>
      </c>
      <c r="DF133" s="111">
        <f t="shared" si="22"/>
        <v>38.99702622</v>
      </c>
      <c r="DG133" s="111"/>
      <c r="DH133" s="111"/>
      <c r="DI133" s="111"/>
      <c r="DJ133" s="111"/>
      <c r="DK133" s="111"/>
      <c r="DL133" s="111"/>
      <c r="DM133" s="111">
        <v>9.0</v>
      </c>
      <c r="DN133" s="149">
        <f t="shared" si="24"/>
        <v>128.2</v>
      </c>
      <c r="DO133" s="111">
        <v>16.0</v>
      </c>
      <c r="DP133" s="111"/>
      <c r="DQ133" s="111"/>
      <c r="DR133" s="111"/>
      <c r="DS133" s="111"/>
      <c r="DT133" s="111"/>
      <c r="DU133" s="111"/>
      <c r="DV133" s="111"/>
      <c r="DW133" s="111">
        <v>5611.0</v>
      </c>
      <c r="DX133" s="111">
        <f t="shared" si="23"/>
        <v>1.944887348</v>
      </c>
      <c r="DY133" s="111">
        <v>45.0</v>
      </c>
      <c r="DZ133" s="111"/>
      <c r="EA133" s="111"/>
      <c r="EB133" s="111"/>
      <c r="EC133" s="111"/>
      <c r="ED133" s="111">
        <v>19.5</v>
      </c>
      <c r="EE133" s="111"/>
      <c r="EF133" s="111"/>
      <c r="EG133" s="111"/>
      <c r="EH133" s="111"/>
      <c r="EI133" s="111"/>
      <c r="EJ133" s="111"/>
      <c r="EK133" s="147"/>
      <c r="EL133" s="111"/>
    </row>
    <row r="134" ht="17.25" customHeight="1">
      <c r="A134" s="148">
        <v>46039.0</v>
      </c>
      <c r="B134" s="111">
        <v>0.0</v>
      </c>
      <c r="C134" s="111"/>
      <c r="D134" s="111"/>
      <c r="E134" s="111">
        <v>80.0</v>
      </c>
      <c r="F134" s="111">
        <v>0.0</v>
      </c>
      <c r="G134" s="111">
        <v>0.0</v>
      </c>
      <c r="H134" s="111"/>
      <c r="I134" s="111"/>
      <c r="J134" s="111"/>
      <c r="K134" s="111">
        <f>112</f>
        <v>112</v>
      </c>
      <c r="L134" s="111"/>
      <c r="M134" s="111">
        <v>0.0</v>
      </c>
      <c r="N134" s="111">
        <v>0.0</v>
      </c>
      <c r="O134" s="111"/>
      <c r="P134" s="111"/>
      <c r="Q134" s="111">
        <v>0.0</v>
      </c>
      <c r="R134" s="111">
        <v>0.0</v>
      </c>
      <c r="S134" s="111"/>
      <c r="T134" s="111">
        <v>0.0</v>
      </c>
      <c r="U134" s="111">
        <v>0.0</v>
      </c>
      <c r="V134" s="111"/>
      <c r="W134" s="111">
        <v>0.0</v>
      </c>
      <c r="X134" s="111">
        <v>0.0</v>
      </c>
      <c r="Y134" s="111"/>
      <c r="Z134" s="111">
        <v>0.0</v>
      </c>
      <c r="AA134" s="111">
        <v>0.0</v>
      </c>
      <c r="AB134" s="111"/>
      <c r="AC134" s="111">
        <v>0.0</v>
      </c>
      <c r="AD134" s="111">
        <v>0.0</v>
      </c>
      <c r="AE134" s="111"/>
      <c r="AF134" s="111">
        <v>0.0</v>
      </c>
      <c r="AG134" s="111">
        <v>0.0</v>
      </c>
      <c r="AH134" s="111"/>
      <c r="AI134" s="111"/>
      <c r="AJ134" s="111"/>
      <c r="AK134" s="111"/>
      <c r="AL134" s="111">
        <v>0.0</v>
      </c>
      <c r="AM134" s="111"/>
      <c r="AN134" s="111">
        <v>0.0</v>
      </c>
      <c r="AO134" s="111">
        <v>0.0</v>
      </c>
      <c r="AP134" s="111">
        <v>0.0</v>
      </c>
      <c r="AQ134" s="111">
        <v>0.0</v>
      </c>
      <c r="AR134" s="111">
        <v>0.0</v>
      </c>
      <c r="AS134" s="111"/>
      <c r="AT134" s="142"/>
      <c r="AU134" s="142"/>
      <c r="AV134" s="111">
        <v>12.0</v>
      </c>
      <c r="AW134" s="111"/>
      <c r="AX134" s="111"/>
      <c r="AY134" s="111"/>
      <c r="AZ134" s="111"/>
      <c r="BA134" s="111"/>
      <c r="BB134" s="111">
        <v>0.0</v>
      </c>
      <c r="BC134" s="111"/>
      <c r="BD134" s="111">
        <v>0.0</v>
      </c>
      <c r="BE134" s="111">
        <v>0.0</v>
      </c>
      <c r="BF134" s="111"/>
      <c r="BG134" s="111"/>
      <c r="BH134" s="111"/>
      <c r="BI134" s="111"/>
      <c r="BJ134" s="142"/>
      <c r="BK134" s="111"/>
      <c r="BL134" s="111">
        <v>4.0</v>
      </c>
      <c r="BM134" s="111"/>
      <c r="BN134" s="111"/>
      <c r="BO134" s="111"/>
      <c r="BP134" s="111"/>
      <c r="BQ134" s="111"/>
      <c r="BR134" s="111">
        <v>0.0</v>
      </c>
      <c r="BS134" s="111"/>
      <c r="BT134" s="111">
        <v>0.0</v>
      </c>
      <c r="BU134" s="111">
        <v>0.0</v>
      </c>
      <c r="BV134" s="111"/>
      <c r="BW134" s="111"/>
      <c r="BX134" s="111"/>
      <c r="BY134" s="111"/>
      <c r="BZ134" s="142"/>
      <c r="CA134" s="111"/>
      <c r="CB134" s="111">
        <v>4.0</v>
      </c>
      <c r="CC134" s="111"/>
      <c r="CD134" s="111"/>
      <c r="CE134" s="111"/>
      <c r="CF134" s="111"/>
      <c r="CG134" s="111"/>
      <c r="CH134" s="111"/>
      <c r="CI134" s="111"/>
      <c r="CJ134" s="111"/>
      <c r="CK134" s="111"/>
      <c r="CL134" s="111"/>
      <c r="CM134" s="111"/>
      <c r="CN134" s="111"/>
      <c r="CO134" s="111"/>
      <c r="CP134" s="111"/>
      <c r="CQ134" s="111"/>
      <c r="CR134" s="111">
        <v>8119.0</v>
      </c>
      <c r="CS134" s="111"/>
      <c r="CT134" s="111">
        <f t="shared" si="21"/>
        <v>101.4875</v>
      </c>
      <c r="CU134" s="111"/>
      <c r="CV134" s="111">
        <v>0.0</v>
      </c>
      <c r="CW134" s="111"/>
      <c r="CX134" s="111"/>
      <c r="CY134" s="111"/>
      <c r="CZ134" s="111">
        <v>3093.0</v>
      </c>
      <c r="DA134" s="18">
        <v>95.6</v>
      </c>
      <c r="DB134" s="18">
        <v>3.5</v>
      </c>
      <c r="DC134" s="111">
        <v>2.0</v>
      </c>
      <c r="DD134" s="18">
        <v>0.08</v>
      </c>
      <c r="DE134" s="145">
        <v>2.0</v>
      </c>
      <c r="DF134" s="111">
        <f t="shared" si="22"/>
        <v>38.09582461</v>
      </c>
      <c r="DG134" s="111"/>
      <c r="DH134" s="111"/>
      <c r="DI134" s="111"/>
      <c r="DJ134" s="111"/>
      <c r="DK134" s="111"/>
      <c r="DL134" s="111"/>
      <c r="DM134" s="111">
        <v>7.0</v>
      </c>
      <c r="DN134" s="149">
        <f t="shared" si="24"/>
        <v>119.2</v>
      </c>
      <c r="DO134" s="111">
        <v>0.0</v>
      </c>
      <c r="DP134" s="111"/>
      <c r="DQ134" s="111"/>
      <c r="DR134" s="111"/>
      <c r="DS134" s="111"/>
      <c r="DT134" s="111"/>
      <c r="DU134" s="111"/>
      <c r="DV134" s="111"/>
      <c r="DW134" s="111">
        <v>5880.0</v>
      </c>
      <c r="DX134" s="111">
        <f t="shared" si="23"/>
        <v>1.901066925</v>
      </c>
      <c r="DY134" s="111">
        <v>45.0</v>
      </c>
      <c r="DZ134" s="111"/>
      <c r="EA134" s="111"/>
      <c r="EB134" s="111"/>
      <c r="EC134" s="111"/>
      <c r="ED134" s="111">
        <v>22.0</v>
      </c>
      <c r="EE134" s="111"/>
      <c r="EF134" s="111"/>
      <c r="EG134" s="111"/>
      <c r="EH134" s="111"/>
      <c r="EI134" s="111"/>
      <c r="EJ134" s="111"/>
      <c r="EK134" s="147"/>
      <c r="EL134" s="111"/>
    </row>
    <row r="135" ht="17.25" customHeight="1">
      <c r="A135" s="148">
        <v>46040.0</v>
      </c>
      <c r="B135" s="111">
        <v>0.0</v>
      </c>
      <c r="C135" s="111"/>
      <c r="D135" s="111"/>
      <c r="E135" s="111">
        <v>80.0</v>
      </c>
      <c r="F135" s="111">
        <v>0.0</v>
      </c>
      <c r="G135" s="111">
        <v>0.0</v>
      </c>
      <c r="H135" s="111"/>
      <c r="I135" s="111"/>
      <c r="J135" s="111"/>
      <c r="K135" s="111">
        <v>112.0</v>
      </c>
      <c r="L135" s="111"/>
      <c r="M135" s="111">
        <v>0.0</v>
      </c>
      <c r="N135" s="111">
        <v>0.0</v>
      </c>
      <c r="O135" s="111"/>
      <c r="P135" s="111"/>
      <c r="Q135" s="111">
        <v>0.0</v>
      </c>
      <c r="R135" s="111">
        <v>0.0</v>
      </c>
      <c r="S135" s="111"/>
      <c r="T135" s="111">
        <v>0.0</v>
      </c>
      <c r="U135" s="111">
        <v>0.0</v>
      </c>
      <c r="V135" s="111"/>
      <c r="W135" s="111">
        <v>0.0</v>
      </c>
      <c r="X135" s="111">
        <v>0.0</v>
      </c>
      <c r="Y135" s="111"/>
      <c r="Z135" s="111">
        <v>0.0</v>
      </c>
      <c r="AA135" s="111">
        <v>0.0</v>
      </c>
      <c r="AB135" s="111"/>
      <c r="AC135" s="111">
        <v>0.0</v>
      </c>
      <c r="AD135" s="111">
        <v>0.0</v>
      </c>
      <c r="AE135" s="111"/>
      <c r="AF135" s="111">
        <v>0.0</v>
      </c>
      <c r="AG135" s="111">
        <v>0.0</v>
      </c>
      <c r="AH135" s="111"/>
      <c r="AI135" s="111"/>
      <c r="AJ135" s="111"/>
      <c r="AK135" s="111"/>
      <c r="AL135" s="111">
        <v>0.0</v>
      </c>
      <c r="AM135" s="111"/>
      <c r="AN135" s="111">
        <v>0.0</v>
      </c>
      <c r="AO135" s="111">
        <v>0.0</v>
      </c>
      <c r="AP135" s="111">
        <v>0.0</v>
      </c>
      <c r="AQ135" s="111">
        <v>0.0</v>
      </c>
      <c r="AR135" s="111">
        <v>0.0</v>
      </c>
      <c r="AS135" s="111"/>
      <c r="AT135" s="142"/>
      <c r="AU135" s="142"/>
      <c r="AV135" s="111">
        <v>12.0</v>
      </c>
      <c r="AW135" s="111"/>
      <c r="AX135" s="111"/>
      <c r="AY135" s="111"/>
      <c r="AZ135" s="111"/>
      <c r="BA135" s="111"/>
      <c r="BB135" s="111">
        <v>0.0</v>
      </c>
      <c r="BC135" s="111"/>
      <c r="BD135" s="111">
        <v>0.0</v>
      </c>
      <c r="BE135" s="111">
        <v>0.0</v>
      </c>
      <c r="BF135" s="111"/>
      <c r="BG135" s="111"/>
      <c r="BH135" s="111"/>
      <c r="BI135" s="111"/>
      <c r="BJ135" s="142"/>
      <c r="BK135" s="111"/>
      <c r="BL135" s="111">
        <v>4.0</v>
      </c>
      <c r="BM135" s="111"/>
      <c r="BN135" s="111"/>
      <c r="BO135" s="111"/>
      <c r="BP135" s="111"/>
      <c r="BQ135" s="111"/>
      <c r="BR135" s="111">
        <v>0.0</v>
      </c>
      <c r="BS135" s="111"/>
      <c r="BT135" s="111">
        <v>0.0</v>
      </c>
      <c r="BU135" s="111">
        <v>0.0</v>
      </c>
      <c r="BV135" s="111"/>
      <c r="BW135" s="111"/>
      <c r="BX135" s="111"/>
      <c r="BY135" s="111"/>
      <c r="BZ135" s="142"/>
      <c r="CA135" s="111"/>
      <c r="CB135" s="111">
        <v>4.0</v>
      </c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>
        <v>7157.0</v>
      </c>
      <c r="CS135" s="111"/>
      <c r="CT135" s="111">
        <f t="shared" si="21"/>
        <v>89.4625</v>
      </c>
      <c r="CU135" s="111"/>
      <c r="CV135" s="111">
        <v>0.0</v>
      </c>
      <c r="CW135" s="111"/>
      <c r="CX135" s="111"/>
      <c r="CY135" s="111"/>
      <c r="CZ135" s="111">
        <v>2832.0</v>
      </c>
      <c r="DA135" s="111">
        <v>95.744</v>
      </c>
      <c r="DB135" s="111">
        <v>3.106</v>
      </c>
      <c r="DC135" s="111">
        <v>5.0</v>
      </c>
      <c r="DD135" s="111">
        <v>0.1</v>
      </c>
      <c r="DE135" s="111">
        <v>1.0</v>
      </c>
      <c r="DF135" s="111">
        <f t="shared" si="22"/>
        <v>39.56965209</v>
      </c>
      <c r="DG135" s="111"/>
      <c r="DH135" s="111"/>
      <c r="DI135" s="111"/>
      <c r="DJ135" s="111"/>
      <c r="DK135" s="111"/>
      <c r="DL135" s="111"/>
      <c r="DM135" s="111">
        <v>5.4</v>
      </c>
      <c r="DN135" s="149">
        <f t="shared" si="24"/>
        <v>124.6</v>
      </c>
      <c r="DO135" s="111">
        <v>16.0</v>
      </c>
      <c r="DP135" s="111"/>
      <c r="DQ135" s="111"/>
      <c r="DR135" s="111"/>
      <c r="DS135" s="111"/>
      <c r="DT135" s="111"/>
      <c r="DU135" s="111"/>
      <c r="DV135" s="111"/>
      <c r="DW135" s="111">
        <v>5445.0</v>
      </c>
      <c r="DX135" s="111">
        <f t="shared" si="23"/>
        <v>1.922669492</v>
      </c>
      <c r="DY135" s="111">
        <v>45.0</v>
      </c>
      <c r="DZ135" s="111"/>
      <c r="EA135" s="111"/>
      <c r="EB135" s="111"/>
      <c r="EC135" s="111"/>
      <c r="ED135" s="111">
        <v>22.12</v>
      </c>
      <c r="EE135" s="111"/>
      <c r="EF135" s="111"/>
      <c r="EG135" s="111"/>
      <c r="EH135" s="111"/>
      <c r="EI135" s="111"/>
      <c r="EJ135" s="111"/>
      <c r="EK135" s="147"/>
      <c r="EL135" s="111"/>
    </row>
    <row r="136" ht="17.25" customHeight="1">
      <c r="A136" s="148">
        <v>46041.0</v>
      </c>
      <c r="B136" s="111">
        <v>0.0</v>
      </c>
      <c r="C136" s="111"/>
      <c r="D136" s="111"/>
      <c r="E136" s="111">
        <v>80.0</v>
      </c>
      <c r="F136" s="111">
        <v>30.22</v>
      </c>
      <c r="G136" s="111">
        <v>73.16</v>
      </c>
      <c r="H136" s="111"/>
      <c r="I136" s="111"/>
      <c r="J136" s="111"/>
      <c r="K136" s="111">
        <f>92+20</f>
        <v>112</v>
      </c>
      <c r="L136" s="111"/>
      <c r="M136" s="111">
        <v>10.92</v>
      </c>
      <c r="N136" s="111">
        <v>72.34</v>
      </c>
      <c r="O136" s="111"/>
      <c r="P136" s="111"/>
      <c r="Q136" s="111">
        <v>10.92</v>
      </c>
      <c r="R136" s="111">
        <v>72.34</v>
      </c>
      <c r="S136" s="111"/>
      <c r="T136" s="111">
        <v>9.18</v>
      </c>
      <c r="U136" s="111">
        <v>60.13</v>
      </c>
      <c r="V136" s="111"/>
      <c r="W136" s="111">
        <v>10.92</v>
      </c>
      <c r="X136" s="111">
        <v>72.34</v>
      </c>
      <c r="Y136" s="111"/>
      <c r="Z136" s="111">
        <v>9.25</v>
      </c>
      <c r="AA136" s="111">
        <v>58.27</v>
      </c>
      <c r="AB136" s="111"/>
      <c r="AC136" s="111">
        <v>10.92</v>
      </c>
      <c r="AD136" s="111">
        <v>72.34</v>
      </c>
      <c r="AE136" s="111"/>
      <c r="AF136" s="111">
        <v>8.96</v>
      </c>
      <c r="AG136" s="111">
        <v>56.91</v>
      </c>
      <c r="AH136" s="111"/>
      <c r="AI136" s="111"/>
      <c r="AJ136" s="111"/>
      <c r="AK136" s="111"/>
      <c r="AL136" s="111">
        <v>5.52</v>
      </c>
      <c r="AM136" s="111"/>
      <c r="AN136" s="111">
        <v>7.03</v>
      </c>
      <c r="AO136" s="111">
        <v>35.0</v>
      </c>
      <c r="AP136" s="111">
        <v>0.0</v>
      </c>
      <c r="AQ136" s="111">
        <v>0.0</v>
      </c>
      <c r="AR136" s="111">
        <v>0.0</v>
      </c>
      <c r="AS136" s="111"/>
      <c r="AT136" s="142"/>
      <c r="AU136" s="142"/>
      <c r="AV136" s="111">
        <v>12.0</v>
      </c>
      <c r="AW136" s="111"/>
      <c r="AX136" s="111"/>
      <c r="AY136" s="111"/>
      <c r="AZ136" s="111"/>
      <c r="BA136" s="111"/>
      <c r="BB136" s="111">
        <v>5.39</v>
      </c>
      <c r="BC136" s="111"/>
      <c r="BD136" s="111">
        <v>7.05</v>
      </c>
      <c r="BE136" s="111">
        <v>34.5</v>
      </c>
      <c r="BF136" s="111"/>
      <c r="BG136" s="111"/>
      <c r="BH136" s="111"/>
      <c r="BI136" s="111"/>
      <c r="BJ136" s="142"/>
      <c r="BK136" s="111"/>
      <c r="BL136" s="111">
        <v>4.0</v>
      </c>
      <c r="BM136" s="111"/>
      <c r="BN136" s="111"/>
      <c r="BO136" s="111"/>
      <c r="BP136" s="111"/>
      <c r="BQ136" s="111"/>
      <c r="BR136" s="111">
        <v>5.1</v>
      </c>
      <c r="BS136" s="111"/>
      <c r="BT136" s="111">
        <v>7.09</v>
      </c>
      <c r="BU136" s="111">
        <v>33.0</v>
      </c>
      <c r="BV136" s="111"/>
      <c r="BW136" s="111"/>
      <c r="BX136" s="111"/>
      <c r="BY136" s="111"/>
      <c r="BZ136" s="142"/>
      <c r="CA136" s="111"/>
      <c r="CB136" s="111">
        <v>4.0</v>
      </c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>
        <v>7177.0</v>
      </c>
      <c r="CS136" s="111"/>
      <c r="CT136" s="111">
        <f t="shared" si="21"/>
        <v>89.7125</v>
      </c>
      <c r="CU136" s="111"/>
      <c r="CV136" s="111">
        <v>40.0</v>
      </c>
      <c r="CW136" s="111"/>
      <c r="CX136" s="111"/>
      <c r="CY136" s="111"/>
      <c r="CZ136" s="111">
        <v>2614.0</v>
      </c>
      <c r="DA136" s="111">
        <v>96.4</v>
      </c>
      <c r="DB136" s="111">
        <v>2.1</v>
      </c>
      <c r="DC136" s="111">
        <v>2.0</v>
      </c>
      <c r="DD136" s="111">
        <v>0.08</v>
      </c>
      <c r="DE136" s="111">
        <v>2.0</v>
      </c>
      <c r="DF136" s="111">
        <f t="shared" si="22"/>
        <v>36.4219033</v>
      </c>
      <c r="DG136" s="111"/>
      <c r="DH136" s="111"/>
      <c r="DI136" s="111"/>
      <c r="DJ136" s="111"/>
      <c r="DK136" s="111"/>
      <c r="DL136" s="111"/>
      <c r="DM136" s="111">
        <v>11.0</v>
      </c>
      <c r="DN136" s="149">
        <f t="shared" si="24"/>
        <v>119.6</v>
      </c>
      <c r="DO136" s="111">
        <v>0.0</v>
      </c>
      <c r="DP136" s="111"/>
      <c r="DQ136" s="111"/>
      <c r="DR136" s="111"/>
      <c r="DS136" s="111"/>
      <c r="DT136" s="111"/>
      <c r="DU136" s="111"/>
      <c r="DV136" s="111"/>
      <c r="DW136" s="111">
        <v>5370.0</v>
      </c>
      <c r="DX136" s="111">
        <f t="shared" si="23"/>
        <v>2.054322877</v>
      </c>
      <c r="DY136" s="111">
        <v>45.0</v>
      </c>
      <c r="DZ136" s="111"/>
      <c r="EA136" s="111"/>
      <c r="EB136" s="111"/>
      <c r="EC136" s="111"/>
      <c r="ED136" s="111">
        <v>19.55</v>
      </c>
      <c r="EE136" s="111"/>
      <c r="EF136" s="111"/>
      <c r="EG136" s="111"/>
      <c r="EH136" s="111"/>
      <c r="EI136" s="111"/>
      <c r="EJ136" s="111"/>
      <c r="EK136" s="147"/>
      <c r="EL136" s="111"/>
    </row>
    <row r="137" ht="17.25" customHeight="1">
      <c r="A137" s="148">
        <v>46042.0</v>
      </c>
      <c r="B137" s="111">
        <v>0.0</v>
      </c>
      <c r="C137" s="111"/>
      <c r="D137" s="111"/>
      <c r="E137" s="111">
        <v>80.0</v>
      </c>
      <c r="F137" s="111">
        <v>30.74</v>
      </c>
      <c r="G137" s="111">
        <v>69.9</v>
      </c>
      <c r="H137" s="111"/>
      <c r="I137" s="111"/>
      <c r="J137" s="111"/>
      <c r="K137" s="111">
        <f>97+5</f>
        <v>102</v>
      </c>
      <c r="L137" s="111"/>
      <c r="M137" s="111">
        <v>12.64</v>
      </c>
      <c r="N137" s="111">
        <v>72.07</v>
      </c>
      <c r="O137" s="111"/>
      <c r="P137" s="111"/>
      <c r="Q137" s="111">
        <v>12.64</v>
      </c>
      <c r="R137" s="111">
        <v>72.07</v>
      </c>
      <c r="S137" s="111"/>
      <c r="T137" s="111">
        <v>9.27</v>
      </c>
      <c r="U137" s="111">
        <v>60.84</v>
      </c>
      <c r="V137" s="111"/>
      <c r="W137" s="111">
        <v>12.64</v>
      </c>
      <c r="X137" s="111">
        <v>72.07</v>
      </c>
      <c r="Y137" s="111"/>
      <c r="Z137" s="111">
        <v>9.4</v>
      </c>
      <c r="AA137" s="111">
        <v>58.08</v>
      </c>
      <c r="AB137" s="111"/>
      <c r="AC137" s="111">
        <v>12.64</v>
      </c>
      <c r="AD137" s="111">
        <v>72.07</v>
      </c>
      <c r="AE137" s="111"/>
      <c r="AF137" s="111">
        <v>9.08</v>
      </c>
      <c r="AG137" s="111">
        <v>56.16</v>
      </c>
      <c r="AH137" s="111"/>
      <c r="AI137" s="111"/>
      <c r="AJ137" s="111"/>
      <c r="AK137" s="111"/>
      <c r="AL137" s="111">
        <v>5.64</v>
      </c>
      <c r="AM137" s="111"/>
      <c r="AN137" s="111">
        <v>6.97</v>
      </c>
      <c r="AO137" s="111">
        <v>35.0</v>
      </c>
      <c r="AP137" s="111">
        <v>0.0</v>
      </c>
      <c r="AQ137" s="111">
        <v>0.0</v>
      </c>
      <c r="AR137" s="111">
        <v>0.0</v>
      </c>
      <c r="AS137" s="111"/>
      <c r="AT137" s="142"/>
      <c r="AU137" s="142"/>
      <c r="AV137" s="111">
        <v>12.0</v>
      </c>
      <c r="AW137" s="111"/>
      <c r="AX137" s="111"/>
      <c r="AY137" s="111"/>
      <c r="AZ137" s="111"/>
      <c r="BA137" s="111"/>
      <c r="BB137" s="111">
        <v>5.46</v>
      </c>
      <c r="BC137" s="111"/>
      <c r="BD137" s="111">
        <v>6.95</v>
      </c>
      <c r="BE137" s="111">
        <v>34.5</v>
      </c>
      <c r="BF137" s="111"/>
      <c r="BG137" s="111"/>
      <c r="BH137" s="111"/>
      <c r="BI137" s="111"/>
      <c r="BJ137" s="142"/>
      <c r="BK137" s="111"/>
      <c r="BL137" s="111">
        <v>4.0</v>
      </c>
      <c r="BM137" s="111"/>
      <c r="BN137" s="111"/>
      <c r="BO137" s="111"/>
      <c r="BP137" s="111"/>
      <c r="BQ137" s="111"/>
      <c r="BR137" s="111">
        <v>5.1</v>
      </c>
      <c r="BS137" s="111"/>
      <c r="BT137" s="111">
        <v>6.99</v>
      </c>
      <c r="BU137" s="111">
        <v>33.1</v>
      </c>
      <c r="BV137" s="111"/>
      <c r="BW137" s="111"/>
      <c r="BX137" s="111"/>
      <c r="BY137" s="111"/>
      <c r="BZ137" s="142"/>
      <c r="CA137" s="111"/>
      <c r="CB137" s="111">
        <v>4.0</v>
      </c>
      <c r="CC137" s="111"/>
      <c r="CD137" s="111"/>
      <c r="CE137" s="111"/>
      <c r="CF137" s="111"/>
      <c r="CG137" s="111"/>
      <c r="CH137" s="111"/>
      <c r="CI137" s="111"/>
      <c r="CJ137" s="111"/>
      <c r="CK137" s="111"/>
      <c r="CL137" s="111"/>
      <c r="CM137" s="111"/>
      <c r="CN137" s="111"/>
      <c r="CO137" s="111"/>
      <c r="CP137" s="111"/>
      <c r="CQ137" s="111"/>
      <c r="CR137" s="111">
        <v>6612.0</v>
      </c>
      <c r="CS137" s="111"/>
      <c r="CT137" s="111">
        <f t="shared" si="21"/>
        <v>82.65</v>
      </c>
      <c r="CU137" s="111"/>
      <c r="CV137" s="111">
        <v>39.0</v>
      </c>
      <c r="CW137" s="111"/>
      <c r="CX137" s="111"/>
      <c r="CY137" s="111"/>
      <c r="CZ137" s="111">
        <v>2439.0</v>
      </c>
      <c r="DA137" s="111">
        <v>96.4</v>
      </c>
      <c r="DB137" s="111">
        <v>3.1</v>
      </c>
      <c r="DC137" s="111">
        <v>0.0</v>
      </c>
      <c r="DD137" s="111">
        <v>0.06</v>
      </c>
      <c r="DE137" s="111">
        <v>1.0</v>
      </c>
      <c r="DF137" s="111">
        <f t="shared" si="22"/>
        <v>36.88747731</v>
      </c>
      <c r="DG137" s="111"/>
      <c r="DH137" s="111"/>
      <c r="DI137" s="111"/>
      <c r="DJ137" s="111"/>
      <c r="DK137" s="111"/>
      <c r="DL137" s="111"/>
      <c r="DM137" s="111">
        <v>6.0</v>
      </c>
      <c r="DN137" s="149">
        <f t="shared" si="24"/>
        <v>125.6</v>
      </c>
      <c r="DO137" s="111">
        <v>16.0</v>
      </c>
      <c r="DP137" s="111"/>
      <c r="DQ137" s="111"/>
      <c r="DR137" s="111"/>
      <c r="DS137" s="111"/>
      <c r="DT137" s="111"/>
      <c r="DU137" s="111"/>
      <c r="DV137" s="111"/>
      <c r="DW137" s="111">
        <v>5145.0</v>
      </c>
      <c r="DX137" s="111">
        <f t="shared" si="23"/>
        <v>2.109471095</v>
      </c>
      <c r="DY137" s="111">
        <v>45.0</v>
      </c>
      <c r="DZ137" s="111"/>
      <c r="EA137" s="111"/>
      <c r="EB137" s="111"/>
      <c r="EC137" s="111"/>
      <c r="ED137" s="111">
        <v>18.15</v>
      </c>
      <c r="EE137" s="111"/>
      <c r="EF137" s="111"/>
      <c r="EG137" s="111"/>
      <c r="EH137" s="111"/>
      <c r="EI137" s="111"/>
      <c r="EJ137" s="111"/>
      <c r="EK137" s="147"/>
      <c r="EL137" s="111"/>
    </row>
    <row r="138" ht="17.25" customHeight="1">
      <c r="A138" s="148">
        <v>46043.0</v>
      </c>
      <c r="B138" s="111">
        <v>0.0</v>
      </c>
      <c r="C138" s="111"/>
      <c r="D138" s="111"/>
      <c r="E138" s="111">
        <v>80.0</v>
      </c>
      <c r="F138" s="111">
        <v>30.33</v>
      </c>
      <c r="G138" s="111">
        <v>78.83</v>
      </c>
      <c r="H138" s="111"/>
      <c r="I138" s="111"/>
      <c r="J138" s="111"/>
      <c r="K138" s="111">
        <f>107+5</f>
        <v>112</v>
      </c>
      <c r="L138" s="111"/>
      <c r="M138" s="111">
        <v>12.87</v>
      </c>
      <c r="N138" s="111">
        <v>71.17</v>
      </c>
      <c r="O138" s="111"/>
      <c r="P138" s="111"/>
      <c r="Q138" s="111">
        <v>12.87</v>
      </c>
      <c r="R138" s="111">
        <v>71.17</v>
      </c>
      <c r="S138" s="111"/>
      <c r="T138" s="111">
        <v>9.02</v>
      </c>
      <c r="U138" s="111">
        <v>61.3</v>
      </c>
      <c r="V138" s="111"/>
      <c r="W138" s="111">
        <v>12.87</v>
      </c>
      <c r="X138" s="111">
        <v>71.17</v>
      </c>
      <c r="Y138" s="111"/>
      <c r="Z138" s="111">
        <v>9.65</v>
      </c>
      <c r="AA138" s="111">
        <v>57.92</v>
      </c>
      <c r="AB138" s="111"/>
      <c r="AC138" s="111">
        <v>12.87</v>
      </c>
      <c r="AD138" s="111">
        <v>71.17</v>
      </c>
      <c r="AE138" s="111"/>
      <c r="AF138" s="111">
        <v>8.92</v>
      </c>
      <c r="AG138" s="111">
        <v>56.5</v>
      </c>
      <c r="AH138" s="111"/>
      <c r="AI138" s="111"/>
      <c r="AJ138" s="111"/>
      <c r="AK138" s="111"/>
      <c r="AL138" s="111">
        <v>5.53</v>
      </c>
      <c r="AM138" s="111"/>
      <c r="AN138" s="111">
        <v>6.93</v>
      </c>
      <c r="AO138" s="111">
        <v>35.0</v>
      </c>
      <c r="AP138" s="111">
        <v>0.0</v>
      </c>
      <c r="AQ138" s="111">
        <v>0.0</v>
      </c>
      <c r="AR138" s="111">
        <v>0.0</v>
      </c>
      <c r="AS138" s="111"/>
      <c r="AT138" s="142"/>
      <c r="AU138" s="142"/>
      <c r="AV138" s="111">
        <v>12.0</v>
      </c>
      <c r="AW138" s="111"/>
      <c r="AX138" s="111"/>
      <c r="AY138" s="111"/>
      <c r="AZ138" s="111"/>
      <c r="BA138" s="111"/>
      <c r="BB138" s="111">
        <v>5.59</v>
      </c>
      <c r="BC138" s="111"/>
      <c r="BD138" s="111">
        <v>6.91</v>
      </c>
      <c r="BE138" s="111">
        <v>34.8</v>
      </c>
      <c r="BF138" s="111"/>
      <c r="BG138" s="111"/>
      <c r="BH138" s="111"/>
      <c r="BI138" s="111"/>
      <c r="BJ138" s="142"/>
      <c r="BK138" s="111"/>
      <c r="BL138" s="111">
        <v>4.0</v>
      </c>
      <c r="BM138" s="111"/>
      <c r="BN138" s="111"/>
      <c r="BO138" s="111"/>
      <c r="BP138" s="111"/>
      <c r="BQ138" s="111"/>
      <c r="BR138" s="111">
        <v>5.04</v>
      </c>
      <c r="BS138" s="111"/>
      <c r="BT138" s="111">
        <v>6.9</v>
      </c>
      <c r="BU138" s="111">
        <v>33.2</v>
      </c>
      <c r="BV138" s="111"/>
      <c r="BW138" s="111"/>
      <c r="BX138" s="111"/>
      <c r="BY138" s="111"/>
      <c r="BZ138" s="142"/>
      <c r="CA138" s="111"/>
      <c r="CB138" s="111">
        <v>4.0</v>
      </c>
      <c r="CC138" s="111"/>
      <c r="CD138" s="111"/>
      <c r="CE138" s="111"/>
      <c r="CF138" s="111"/>
      <c r="CG138" s="111"/>
      <c r="CH138" s="111"/>
      <c r="CI138" s="111"/>
      <c r="CJ138" s="111"/>
      <c r="CK138" s="111"/>
      <c r="CL138" s="111"/>
      <c r="CM138" s="111"/>
      <c r="CN138" s="111"/>
      <c r="CO138" s="111"/>
      <c r="CP138" s="111"/>
      <c r="CQ138" s="111"/>
      <c r="CR138" s="111">
        <v>6361.0</v>
      </c>
      <c r="CS138" s="111"/>
      <c r="CT138" s="111">
        <f t="shared" si="21"/>
        <v>79.5125</v>
      </c>
      <c r="CU138" s="111"/>
      <c r="CV138" s="111">
        <v>42.0</v>
      </c>
      <c r="CW138" s="111"/>
      <c r="CX138" s="111"/>
      <c r="CY138" s="111"/>
      <c r="CZ138" s="111">
        <v>2343.0</v>
      </c>
      <c r="DA138" s="111">
        <v>96.4</v>
      </c>
      <c r="DB138" s="111">
        <v>2.1</v>
      </c>
      <c r="DC138" s="111">
        <v>2.0</v>
      </c>
      <c r="DD138" s="111">
        <v>0.08</v>
      </c>
      <c r="DE138" s="111">
        <v>2.0</v>
      </c>
      <c r="DF138" s="111">
        <f t="shared" si="22"/>
        <v>36.83383116</v>
      </c>
      <c r="DG138" s="111"/>
      <c r="DH138" s="111"/>
      <c r="DI138" s="111"/>
      <c r="DJ138" s="111"/>
      <c r="DK138" s="111"/>
      <c r="DL138" s="111"/>
      <c r="DM138" s="111">
        <v>9.0</v>
      </c>
      <c r="DN138" s="149">
        <f t="shared" si="24"/>
        <v>118.6</v>
      </c>
      <c r="DO138" s="111">
        <v>0.0</v>
      </c>
      <c r="DP138" s="111"/>
      <c r="DQ138" s="111"/>
      <c r="DR138" s="111"/>
      <c r="DS138" s="111"/>
      <c r="DT138" s="111"/>
      <c r="DU138" s="111"/>
      <c r="DV138" s="111"/>
      <c r="DW138" s="111">
        <v>4965.0</v>
      </c>
      <c r="DX138" s="111">
        <f t="shared" si="23"/>
        <v>2.119078105</v>
      </c>
      <c r="DY138" s="111">
        <v>45.0</v>
      </c>
      <c r="DZ138" s="111"/>
      <c r="EA138" s="111"/>
      <c r="EB138" s="111"/>
      <c r="EC138" s="111"/>
      <c r="ED138" s="111">
        <v>17.5</v>
      </c>
      <c r="EE138" s="111"/>
      <c r="EF138" s="111"/>
      <c r="EG138" s="111"/>
      <c r="EH138" s="111"/>
      <c r="EI138" s="111"/>
      <c r="EJ138" s="111"/>
      <c r="EK138" s="147"/>
      <c r="EL138" s="111"/>
    </row>
    <row r="139" ht="17.25" customHeight="1">
      <c r="A139" s="148">
        <v>46044.0</v>
      </c>
      <c r="B139" s="111">
        <v>0.0</v>
      </c>
      <c r="C139" s="111"/>
      <c r="D139" s="111"/>
      <c r="E139" s="111">
        <v>80.0</v>
      </c>
      <c r="F139" s="111">
        <v>30.4</v>
      </c>
      <c r="G139" s="111">
        <v>73.68</v>
      </c>
      <c r="H139" s="111"/>
      <c r="I139" s="111"/>
      <c r="J139" s="111"/>
      <c r="K139" s="111">
        <v>112.0</v>
      </c>
      <c r="L139" s="111"/>
      <c r="M139" s="111">
        <v>12.24</v>
      </c>
      <c r="N139" s="111">
        <v>77.45</v>
      </c>
      <c r="O139" s="111"/>
      <c r="P139" s="111"/>
      <c r="Q139" s="111">
        <v>12.24</v>
      </c>
      <c r="R139" s="111">
        <v>77.45</v>
      </c>
      <c r="S139" s="111"/>
      <c r="T139" s="111">
        <v>9.18</v>
      </c>
      <c r="U139" s="111">
        <v>61.43</v>
      </c>
      <c r="V139" s="111"/>
      <c r="W139" s="111">
        <v>12.24</v>
      </c>
      <c r="X139" s="111">
        <v>77.45</v>
      </c>
      <c r="Y139" s="111"/>
      <c r="Z139" s="111">
        <v>9.48</v>
      </c>
      <c r="AA139" s="111">
        <v>57.91</v>
      </c>
      <c r="AB139" s="111"/>
      <c r="AC139" s="111">
        <v>12.24</v>
      </c>
      <c r="AD139" s="111">
        <v>77.45</v>
      </c>
      <c r="AE139" s="111"/>
      <c r="AF139" s="111">
        <v>8.97</v>
      </c>
      <c r="AG139" s="111">
        <v>58.08</v>
      </c>
      <c r="AH139" s="111"/>
      <c r="AI139" s="111"/>
      <c r="AJ139" s="111"/>
      <c r="AK139" s="111"/>
      <c r="AL139" s="111">
        <v>5.64</v>
      </c>
      <c r="AM139" s="111"/>
      <c r="AN139" s="111">
        <v>6.83</v>
      </c>
      <c r="AO139" s="111">
        <v>34.9</v>
      </c>
      <c r="AP139" s="111">
        <v>0.0</v>
      </c>
      <c r="AQ139" s="111">
        <v>0.0</v>
      </c>
      <c r="AR139" s="111">
        <v>0.0</v>
      </c>
      <c r="AS139" s="111"/>
      <c r="AT139" s="142"/>
      <c r="AU139" s="142"/>
      <c r="AV139" s="111">
        <v>12.0</v>
      </c>
      <c r="AW139" s="111"/>
      <c r="AX139" s="111"/>
      <c r="AY139" s="111"/>
      <c r="AZ139" s="111"/>
      <c r="BA139" s="111"/>
      <c r="BB139" s="111">
        <v>5.49</v>
      </c>
      <c r="BC139" s="111"/>
      <c r="BD139" s="111">
        <v>6.8</v>
      </c>
      <c r="BE139" s="111">
        <v>34.5</v>
      </c>
      <c r="BF139" s="111"/>
      <c r="BG139" s="111"/>
      <c r="BH139" s="111"/>
      <c r="BI139" s="111"/>
      <c r="BJ139" s="142"/>
      <c r="BK139" s="111"/>
      <c r="BL139" s="111">
        <v>4.0</v>
      </c>
      <c r="BM139" s="111"/>
      <c r="BN139" s="111"/>
      <c r="BO139" s="111"/>
      <c r="BP139" s="111"/>
      <c r="BQ139" s="111"/>
      <c r="BR139" s="111">
        <v>5.21</v>
      </c>
      <c r="BS139" s="111"/>
      <c r="BT139" s="111">
        <v>6.77</v>
      </c>
      <c r="BU139" s="111">
        <v>33.0</v>
      </c>
      <c r="BV139" s="111"/>
      <c r="BW139" s="111"/>
      <c r="BX139" s="111"/>
      <c r="BY139" s="111"/>
      <c r="BZ139" s="142"/>
      <c r="CA139" s="111"/>
      <c r="CB139" s="111">
        <v>4.0</v>
      </c>
      <c r="CC139" s="111"/>
      <c r="CD139" s="111"/>
      <c r="CE139" s="111"/>
      <c r="CF139" s="111"/>
      <c r="CG139" s="111"/>
      <c r="CH139" s="111"/>
      <c r="CI139" s="111"/>
      <c r="CJ139" s="111"/>
      <c r="CK139" s="111"/>
      <c r="CL139" s="111"/>
      <c r="CM139" s="111"/>
      <c r="CN139" s="111"/>
      <c r="CO139" s="111"/>
      <c r="CP139" s="111"/>
      <c r="CQ139" s="111"/>
      <c r="CR139" s="111">
        <v>7618.0</v>
      </c>
      <c r="CS139" s="111"/>
      <c r="CT139" s="111">
        <f t="shared" si="21"/>
        <v>95.225</v>
      </c>
      <c r="CU139" s="111"/>
      <c r="CV139" s="111">
        <v>0.0</v>
      </c>
      <c r="CW139" s="111"/>
      <c r="CX139" s="111"/>
      <c r="CY139" s="111"/>
      <c r="CZ139" s="111">
        <v>2864.0</v>
      </c>
      <c r="DA139" s="111">
        <v>96.4</v>
      </c>
      <c r="DB139" s="111">
        <v>2.1</v>
      </c>
      <c r="DC139" s="111">
        <v>2.0</v>
      </c>
      <c r="DD139" s="111">
        <v>0.08</v>
      </c>
      <c r="DE139" s="111">
        <v>2.0</v>
      </c>
      <c r="DF139" s="111">
        <f t="shared" si="22"/>
        <v>37.59516934</v>
      </c>
      <c r="DG139" s="111"/>
      <c r="DH139" s="111"/>
      <c r="DI139" s="111"/>
      <c r="DJ139" s="111"/>
      <c r="DK139" s="111"/>
      <c r="DL139" s="111"/>
      <c r="DM139" s="111">
        <v>5.2</v>
      </c>
      <c r="DN139" s="149">
        <f t="shared" si="24"/>
        <v>123.8</v>
      </c>
      <c r="DO139" s="111">
        <v>0.0</v>
      </c>
      <c r="DP139" s="111"/>
      <c r="DQ139" s="111"/>
      <c r="DR139" s="111"/>
      <c r="DS139" s="111"/>
      <c r="DT139" s="111"/>
      <c r="DU139" s="111"/>
      <c r="DV139" s="111"/>
      <c r="DW139" s="111">
        <v>6195.0</v>
      </c>
      <c r="DX139" s="111">
        <f t="shared" si="23"/>
        <v>2.163058659</v>
      </c>
      <c r="DY139" s="111">
        <v>45.0</v>
      </c>
      <c r="DZ139" s="111"/>
      <c r="EA139" s="111"/>
      <c r="EB139" s="111"/>
      <c r="EC139" s="111"/>
      <c r="ED139" s="111">
        <v>21.2</v>
      </c>
      <c r="EE139" s="111"/>
      <c r="EF139" s="111"/>
      <c r="EG139" s="111"/>
      <c r="EH139" s="111"/>
      <c r="EI139" s="111"/>
      <c r="EJ139" s="111"/>
      <c r="EK139" s="147"/>
      <c r="EL139" s="111"/>
    </row>
    <row r="140" ht="17.25" customHeight="1">
      <c r="A140" s="148">
        <v>46045.0</v>
      </c>
      <c r="B140" s="111">
        <v>0.0</v>
      </c>
      <c r="C140" s="111"/>
      <c r="D140" s="111"/>
      <c r="E140" s="111">
        <v>80.0</v>
      </c>
      <c r="F140" s="111">
        <v>29.42</v>
      </c>
      <c r="G140" s="111">
        <v>81.78</v>
      </c>
      <c r="H140" s="111"/>
      <c r="I140" s="111"/>
      <c r="J140" s="111"/>
      <c r="K140" s="111">
        <v>112.0</v>
      </c>
      <c r="L140" s="111"/>
      <c r="M140" s="111">
        <v>10.34</v>
      </c>
      <c r="N140" s="111">
        <v>75.82</v>
      </c>
      <c r="O140" s="111"/>
      <c r="P140" s="111"/>
      <c r="Q140" s="111">
        <v>10.34</v>
      </c>
      <c r="R140" s="111">
        <v>75.82</v>
      </c>
      <c r="S140" s="111"/>
      <c r="T140" s="111">
        <v>9.15</v>
      </c>
      <c r="U140" s="111">
        <v>59.67</v>
      </c>
      <c r="V140" s="111"/>
      <c r="W140" s="111">
        <v>10.34</v>
      </c>
      <c r="X140" s="111">
        <v>75.82</v>
      </c>
      <c r="Y140" s="111"/>
      <c r="Z140" s="111">
        <v>9.88</v>
      </c>
      <c r="AA140" s="111">
        <v>57.99</v>
      </c>
      <c r="AB140" s="111"/>
      <c r="AC140" s="111">
        <v>10.34</v>
      </c>
      <c r="AD140" s="111">
        <v>75.82</v>
      </c>
      <c r="AE140" s="111"/>
      <c r="AF140" s="111">
        <v>8.89</v>
      </c>
      <c r="AG140" s="111">
        <v>56.8</v>
      </c>
      <c r="AH140" s="111"/>
      <c r="AI140" s="111"/>
      <c r="AJ140" s="111"/>
      <c r="AK140" s="111"/>
      <c r="AL140" s="111">
        <v>5.46</v>
      </c>
      <c r="AM140" s="111"/>
      <c r="AN140" s="111">
        <v>6.78</v>
      </c>
      <c r="AO140" s="111">
        <v>35.0</v>
      </c>
      <c r="AP140" s="111">
        <v>0.0</v>
      </c>
      <c r="AQ140" s="111">
        <v>0.0</v>
      </c>
      <c r="AR140" s="111">
        <v>0.0</v>
      </c>
      <c r="AS140" s="111"/>
      <c r="AT140" s="142"/>
      <c r="AU140" s="142"/>
      <c r="AV140" s="111">
        <v>12.0</v>
      </c>
      <c r="AW140" s="111"/>
      <c r="AX140" s="111"/>
      <c r="AY140" s="111"/>
      <c r="AZ140" s="111"/>
      <c r="BA140" s="111"/>
      <c r="BB140" s="111">
        <v>5.73</v>
      </c>
      <c r="BC140" s="111"/>
      <c r="BD140" s="111">
        <v>6.76</v>
      </c>
      <c r="BE140" s="111">
        <v>34.5</v>
      </c>
      <c r="BF140" s="111"/>
      <c r="BG140" s="111"/>
      <c r="BH140" s="111"/>
      <c r="BI140" s="111"/>
      <c r="BJ140" s="142"/>
      <c r="BK140" s="111"/>
      <c r="BL140" s="111">
        <v>4.0</v>
      </c>
      <c r="BM140" s="111"/>
      <c r="BN140" s="111"/>
      <c r="BO140" s="111"/>
      <c r="BP140" s="111"/>
      <c r="BQ140" s="111"/>
      <c r="BR140" s="111">
        <v>5.05</v>
      </c>
      <c r="BS140" s="111"/>
      <c r="BT140" s="111">
        <v>6.79</v>
      </c>
      <c r="BU140" s="111">
        <v>33.1</v>
      </c>
      <c r="BV140" s="111"/>
      <c r="BW140" s="111"/>
      <c r="BX140" s="111"/>
      <c r="BY140" s="111"/>
      <c r="BZ140" s="142"/>
      <c r="CA140" s="111"/>
      <c r="CB140" s="111">
        <v>4.0</v>
      </c>
      <c r="CC140" s="111"/>
      <c r="CD140" s="111"/>
      <c r="CE140" s="111"/>
      <c r="CF140" s="111"/>
      <c r="CG140" s="111"/>
      <c r="CH140" s="111"/>
      <c r="CI140" s="111"/>
      <c r="CJ140" s="111"/>
      <c r="CK140" s="111"/>
      <c r="CL140" s="111"/>
      <c r="CM140" s="111"/>
      <c r="CN140" s="111"/>
      <c r="CO140" s="111"/>
      <c r="CP140" s="111"/>
      <c r="CQ140" s="111"/>
      <c r="CR140" s="111">
        <v>7204.0</v>
      </c>
      <c r="CS140" s="111"/>
      <c r="CT140" s="111">
        <f t="shared" si="21"/>
        <v>90.05</v>
      </c>
      <c r="CU140" s="111"/>
      <c r="CV140" s="111">
        <v>41.0</v>
      </c>
      <c r="CW140" s="111"/>
      <c r="CX140" s="111"/>
      <c r="CY140" s="111"/>
      <c r="CZ140" s="111">
        <v>2705.0</v>
      </c>
      <c r="DA140" s="111">
        <v>96.4</v>
      </c>
      <c r="DB140" s="111">
        <v>3.1</v>
      </c>
      <c r="DC140" s="111">
        <v>0.0</v>
      </c>
      <c r="DD140" s="111">
        <v>0.06</v>
      </c>
      <c r="DE140" s="111">
        <v>1.0</v>
      </c>
      <c r="DF140" s="111">
        <f t="shared" si="22"/>
        <v>37.54858412</v>
      </c>
      <c r="DG140" s="111"/>
      <c r="DH140" s="111"/>
      <c r="DI140" s="111"/>
      <c r="DJ140" s="111"/>
      <c r="DK140" s="111"/>
      <c r="DL140" s="111"/>
      <c r="DM140" s="111">
        <v>7.0</v>
      </c>
      <c r="DN140" s="149">
        <f t="shared" si="24"/>
        <v>130.8</v>
      </c>
      <c r="DO140" s="111">
        <v>0.0</v>
      </c>
      <c r="DP140" s="111"/>
      <c r="DQ140" s="111"/>
      <c r="DR140" s="111"/>
      <c r="DS140" s="111"/>
      <c r="DT140" s="111"/>
      <c r="DU140" s="111"/>
      <c r="DV140" s="111"/>
      <c r="DW140" s="111">
        <v>5955.0</v>
      </c>
      <c r="DX140" s="111">
        <f t="shared" si="23"/>
        <v>2.201478743</v>
      </c>
      <c r="DY140" s="111">
        <v>45.0</v>
      </c>
      <c r="DZ140" s="111"/>
      <c r="EA140" s="111"/>
      <c r="EB140" s="111"/>
      <c r="EC140" s="111"/>
      <c r="ED140" s="111">
        <v>20.2</v>
      </c>
      <c r="EE140" s="111"/>
      <c r="EF140" s="111"/>
      <c r="EG140" s="111"/>
      <c r="EH140" s="111"/>
      <c r="EI140" s="111"/>
      <c r="EJ140" s="111"/>
      <c r="EK140" s="147"/>
      <c r="EL140" s="111"/>
    </row>
    <row r="141" ht="17.25" customHeight="1">
      <c r="A141" s="148">
        <v>46046.0</v>
      </c>
      <c r="B141" s="111">
        <v>0.0</v>
      </c>
      <c r="C141" s="111"/>
      <c r="D141" s="111"/>
      <c r="E141" s="111">
        <v>80.0</v>
      </c>
      <c r="F141" s="111"/>
      <c r="G141" s="111"/>
      <c r="H141" s="111"/>
      <c r="I141" s="111"/>
      <c r="J141" s="111"/>
      <c r="K141" s="111">
        <v>109.0</v>
      </c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42"/>
      <c r="AU141" s="142"/>
      <c r="AV141" s="111">
        <v>12.0</v>
      </c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42"/>
      <c r="BK141" s="111"/>
      <c r="BL141" s="111">
        <v>4.0</v>
      </c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42"/>
      <c r="CA141" s="111"/>
      <c r="CB141" s="111">
        <v>4.0</v>
      </c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>
        <v>7498.0</v>
      </c>
      <c r="CS141" s="111"/>
      <c r="CT141" s="111">
        <f t="shared" si="21"/>
        <v>93.725</v>
      </c>
      <c r="CU141" s="111"/>
      <c r="CV141" s="111"/>
      <c r="CW141" s="111"/>
      <c r="CX141" s="111"/>
      <c r="CY141" s="111"/>
      <c r="CZ141" s="111">
        <v>2858.0</v>
      </c>
      <c r="DA141" s="111">
        <v>96.8</v>
      </c>
      <c r="DB141" s="111">
        <v>2.4</v>
      </c>
      <c r="DC141" s="111">
        <v>1.0</v>
      </c>
      <c r="DD141" s="111">
        <v>0.07</v>
      </c>
      <c r="DE141" s="111">
        <v>1.0</v>
      </c>
      <c r="DF141" s="111">
        <f t="shared" si="22"/>
        <v>38.11683115</v>
      </c>
      <c r="DG141" s="111"/>
      <c r="DH141" s="111"/>
      <c r="DI141" s="111"/>
      <c r="DJ141" s="111"/>
      <c r="DK141" s="111"/>
      <c r="DL141" s="111"/>
      <c r="DM141" s="111">
        <v>5.4</v>
      </c>
      <c r="DN141" s="149">
        <f t="shared" si="24"/>
        <v>136.2</v>
      </c>
      <c r="DO141" s="111">
        <v>0.0</v>
      </c>
      <c r="DP141" s="111"/>
      <c r="DQ141" s="111"/>
      <c r="DR141" s="111"/>
      <c r="DS141" s="111"/>
      <c r="DT141" s="111"/>
      <c r="DU141" s="111"/>
      <c r="DV141" s="111"/>
      <c r="DW141" s="111">
        <v>5670.0</v>
      </c>
      <c r="DX141" s="111">
        <f t="shared" si="23"/>
        <v>1.983904829</v>
      </c>
      <c r="DY141" s="111">
        <v>45.0</v>
      </c>
      <c r="DZ141" s="111"/>
      <c r="EA141" s="111"/>
      <c r="EB141" s="111"/>
      <c r="EC141" s="111"/>
      <c r="ED141" s="111">
        <v>21.05</v>
      </c>
      <c r="EE141" s="111"/>
      <c r="EF141" s="111"/>
      <c r="EG141" s="111"/>
      <c r="EH141" s="111"/>
      <c r="EI141" s="111"/>
      <c r="EJ141" s="111"/>
      <c r="EK141" s="147"/>
      <c r="EL141" s="111"/>
    </row>
    <row r="142" ht="17.25" customHeight="1">
      <c r="A142" s="148">
        <v>46047.0</v>
      </c>
      <c r="B142" s="111">
        <v>0.0</v>
      </c>
      <c r="C142" s="111"/>
      <c r="D142" s="111"/>
      <c r="E142" s="111">
        <v>80.0</v>
      </c>
      <c r="F142" s="111"/>
      <c r="G142" s="111"/>
      <c r="H142" s="111"/>
      <c r="I142" s="111"/>
      <c r="J142" s="111"/>
      <c r="K142" s="111">
        <v>112.0</v>
      </c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42"/>
      <c r="AU142" s="142"/>
      <c r="AV142" s="111">
        <v>12.0</v>
      </c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42"/>
      <c r="BK142" s="111"/>
      <c r="BL142" s="111">
        <v>4.0</v>
      </c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42"/>
      <c r="CA142" s="111"/>
      <c r="CB142" s="111">
        <v>4.0</v>
      </c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>
        <v>7275.0</v>
      </c>
      <c r="CS142" s="111"/>
      <c r="CT142" s="111">
        <f t="shared" si="21"/>
        <v>90.9375</v>
      </c>
      <c r="CU142" s="111"/>
      <c r="CV142" s="111"/>
      <c r="CW142" s="111"/>
      <c r="CX142" s="111"/>
      <c r="CY142" s="111"/>
      <c r="CZ142" s="111">
        <v>2848.0</v>
      </c>
      <c r="DA142" s="111">
        <v>96.4</v>
      </c>
      <c r="DB142" s="111">
        <v>2.1</v>
      </c>
      <c r="DC142" s="111">
        <v>2.0</v>
      </c>
      <c r="DD142" s="111">
        <v>0.08</v>
      </c>
      <c r="DE142" s="111">
        <v>2.0</v>
      </c>
      <c r="DF142" s="111">
        <f t="shared" si="22"/>
        <v>39.14776632</v>
      </c>
      <c r="DG142" s="111"/>
      <c r="DH142" s="111"/>
      <c r="DI142" s="111"/>
      <c r="DJ142" s="111"/>
      <c r="DK142" s="111"/>
      <c r="DL142" s="111"/>
      <c r="DM142" s="111">
        <v>8.0</v>
      </c>
      <c r="DN142" s="149">
        <f t="shared" si="24"/>
        <v>144.2</v>
      </c>
      <c r="DO142" s="111">
        <v>0.0</v>
      </c>
      <c r="DP142" s="111"/>
      <c r="DQ142" s="111"/>
      <c r="DR142" s="111"/>
      <c r="DS142" s="111"/>
      <c r="DT142" s="111"/>
      <c r="DU142" s="111"/>
      <c r="DV142" s="111"/>
      <c r="DW142" s="111">
        <v>5700.0</v>
      </c>
      <c r="DX142" s="111">
        <f t="shared" si="23"/>
        <v>2.001404494</v>
      </c>
      <c r="DY142" s="111">
        <v>45.0</v>
      </c>
      <c r="DZ142" s="111"/>
      <c r="EA142" s="111"/>
      <c r="EB142" s="111"/>
      <c r="EC142" s="111"/>
      <c r="ED142" s="111">
        <v>20.3</v>
      </c>
      <c r="EE142" s="111"/>
      <c r="EF142" s="111"/>
      <c r="EG142" s="111"/>
      <c r="EH142" s="111"/>
      <c r="EI142" s="111"/>
      <c r="EJ142" s="111"/>
      <c r="EK142" s="147"/>
      <c r="EL142" s="111"/>
    </row>
    <row r="143" ht="17.25" customHeight="1">
      <c r="A143" s="148">
        <v>46048.0</v>
      </c>
      <c r="B143" s="111">
        <v>0.0</v>
      </c>
      <c r="C143" s="111"/>
      <c r="D143" s="111"/>
      <c r="E143" s="111">
        <v>80.0</v>
      </c>
      <c r="F143" s="111"/>
      <c r="G143" s="111"/>
      <c r="H143" s="111"/>
      <c r="I143" s="111"/>
      <c r="J143" s="111"/>
      <c r="K143" s="111">
        <v>112.0</v>
      </c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42"/>
      <c r="AU143" s="142"/>
      <c r="AV143" s="111">
        <v>12.0</v>
      </c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42"/>
      <c r="BK143" s="111"/>
      <c r="BL143" s="111">
        <v>4.0</v>
      </c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42"/>
      <c r="CA143" s="111"/>
      <c r="CB143" s="111">
        <v>4.0</v>
      </c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>
        <v>7219.0</v>
      </c>
      <c r="CS143" s="111"/>
      <c r="CT143" s="111">
        <f t="shared" si="21"/>
        <v>90.2375</v>
      </c>
      <c r="CU143" s="111"/>
      <c r="CV143" s="111"/>
      <c r="CW143" s="111"/>
      <c r="CX143" s="111"/>
      <c r="CY143" s="111"/>
      <c r="CZ143" s="111">
        <v>2848.0</v>
      </c>
      <c r="DA143" s="111">
        <v>96.4</v>
      </c>
      <c r="DB143" s="111">
        <v>3.1</v>
      </c>
      <c r="DC143" s="111">
        <v>0.0</v>
      </c>
      <c r="DD143" s="111">
        <v>0.06</v>
      </c>
      <c r="DE143" s="111">
        <v>1.0</v>
      </c>
      <c r="DF143" s="111">
        <f t="shared" si="22"/>
        <v>39.45144757</v>
      </c>
      <c r="DG143" s="111"/>
      <c r="DH143" s="111"/>
      <c r="DI143" s="111"/>
      <c r="DJ143" s="111"/>
      <c r="DK143" s="111"/>
      <c r="DL143" s="111"/>
      <c r="DM143" s="111">
        <v>0.0</v>
      </c>
      <c r="DN143" s="149">
        <f t="shared" si="24"/>
        <v>144.2</v>
      </c>
      <c r="DO143" s="111">
        <v>0.0</v>
      </c>
      <c r="DP143" s="111"/>
      <c r="DQ143" s="111"/>
      <c r="DR143" s="111"/>
      <c r="DS143" s="111"/>
      <c r="DT143" s="111"/>
      <c r="DU143" s="111"/>
      <c r="DV143" s="111"/>
      <c r="DW143" s="111">
        <v>5805.0</v>
      </c>
      <c r="DX143" s="111">
        <f t="shared" si="23"/>
        <v>2.038272472</v>
      </c>
      <c r="DY143" s="111">
        <v>45.0</v>
      </c>
      <c r="DZ143" s="111"/>
      <c r="EA143" s="111"/>
      <c r="EB143" s="111"/>
      <c r="EC143" s="111"/>
      <c r="ED143" s="111">
        <v>20.1</v>
      </c>
      <c r="EE143" s="111"/>
      <c r="EF143" s="111"/>
      <c r="EG143" s="111"/>
      <c r="EH143" s="111"/>
      <c r="EI143" s="111"/>
      <c r="EJ143" s="111"/>
      <c r="EK143" s="147"/>
      <c r="EL143" s="111"/>
    </row>
    <row r="144" ht="17.25" customHeight="1">
      <c r="A144" s="148">
        <v>46049.0</v>
      </c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42"/>
      <c r="AU144" s="142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42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42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  <c r="CZ144" s="111"/>
      <c r="DA144" s="111">
        <v>95.744</v>
      </c>
      <c r="DB144" s="111">
        <v>3.106</v>
      </c>
      <c r="DC144" s="111">
        <v>5.0</v>
      </c>
      <c r="DD144" s="111">
        <v>0.1</v>
      </c>
      <c r="DE144" s="111">
        <v>1.0</v>
      </c>
      <c r="DF144" s="111" t="str">
        <f t="shared" si="22"/>
        <v>#DIV/0!</v>
      </c>
      <c r="DG144" s="111"/>
      <c r="DH144" s="111"/>
      <c r="DI144" s="111"/>
      <c r="DJ144" s="111"/>
      <c r="DK144" s="111"/>
      <c r="DL144" s="111"/>
      <c r="DM144" s="111"/>
      <c r="DN144" s="149">
        <f t="shared" si="24"/>
        <v>144.2</v>
      </c>
      <c r="DO144" s="111"/>
      <c r="DP144" s="111"/>
      <c r="DQ144" s="111"/>
      <c r="DR144" s="111"/>
      <c r="DS144" s="111"/>
      <c r="DT144" s="111"/>
      <c r="DU144" s="111"/>
      <c r="DV144" s="111"/>
      <c r="DW144" s="111"/>
      <c r="DX144" s="111"/>
      <c r="DY144" s="111"/>
      <c r="DZ144" s="111"/>
      <c r="EA144" s="111"/>
      <c r="EB144" s="111"/>
      <c r="EC144" s="111"/>
      <c r="ED144" s="111"/>
      <c r="EE144" s="111"/>
      <c r="EF144" s="111"/>
      <c r="EG144" s="111"/>
      <c r="EH144" s="111"/>
      <c r="EI144" s="111"/>
      <c r="EJ144" s="111"/>
      <c r="EK144" s="147"/>
      <c r="EL144" s="111"/>
    </row>
    <row r="145" ht="17.25" customHeight="1">
      <c r="A145" s="148">
        <v>46050.0</v>
      </c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42"/>
      <c r="AU145" s="142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42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42"/>
      <c r="CA145" s="111"/>
      <c r="CB145" s="111"/>
      <c r="CC145" s="111"/>
      <c r="CD145" s="111"/>
      <c r="CE145" s="111"/>
      <c r="CF145" s="111"/>
      <c r="CG145" s="111"/>
      <c r="CH145" s="111"/>
      <c r="CI145" s="111"/>
      <c r="CJ145" s="111"/>
      <c r="CK145" s="111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11"/>
      <c r="CW145" s="111"/>
      <c r="CX145" s="111"/>
      <c r="CY145" s="111"/>
      <c r="CZ145" s="111"/>
      <c r="DA145" s="111"/>
      <c r="DB145" s="111"/>
      <c r="DC145" s="111"/>
      <c r="DD145" s="111"/>
      <c r="DE145" s="111"/>
      <c r="DF145" s="111" t="str">
        <f t="shared" si="22"/>
        <v>#DIV/0!</v>
      </c>
      <c r="DG145" s="111"/>
      <c r="DH145" s="111"/>
      <c r="DI145" s="111"/>
      <c r="DJ145" s="111"/>
      <c r="DK145" s="111"/>
      <c r="DL145" s="111"/>
      <c r="DM145" s="111"/>
      <c r="DN145" s="149"/>
      <c r="DO145" s="111"/>
      <c r="DP145" s="111"/>
      <c r="DQ145" s="111"/>
      <c r="DR145" s="111"/>
      <c r="DS145" s="111"/>
      <c r="DT145" s="111"/>
      <c r="DU145" s="111"/>
      <c r="DV145" s="111"/>
      <c r="DW145" s="111"/>
      <c r="DX145" s="111"/>
      <c r="DY145" s="111"/>
      <c r="DZ145" s="111"/>
      <c r="EA145" s="111"/>
      <c r="EB145" s="111"/>
      <c r="EC145" s="111"/>
      <c r="ED145" s="111"/>
      <c r="EE145" s="111"/>
      <c r="EF145" s="111"/>
      <c r="EG145" s="111"/>
      <c r="EH145" s="111"/>
      <c r="EI145" s="111"/>
      <c r="EJ145" s="111"/>
      <c r="EK145" s="147"/>
      <c r="EL145" s="111"/>
    </row>
    <row r="146" ht="17.25" customHeight="1">
      <c r="A146" s="148">
        <v>46051.0</v>
      </c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42"/>
      <c r="AU146" s="142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42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42"/>
      <c r="CA146" s="111"/>
      <c r="CB146" s="111"/>
      <c r="CC146" s="111"/>
      <c r="CD146" s="111"/>
      <c r="CE146" s="111"/>
      <c r="CF146" s="111"/>
      <c r="CG146" s="111"/>
      <c r="CH146" s="111"/>
      <c r="CI146" s="111"/>
      <c r="CJ146" s="111"/>
      <c r="CK146" s="111"/>
      <c r="CL146" s="111"/>
      <c r="CM146" s="111"/>
      <c r="CN146" s="111"/>
      <c r="CO146" s="111"/>
      <c r="CP146" s="111"/>
      <c r="CQ146" s="111"/>
      <c r="CR146" s="111"/>
      <c r="CS146" s="111"/>
      <c r="CT146" s="111"/>
      <c r="CU146" s="111"/>
      <c r="CV146" s="111"/>
      <c r="CW146" s="111"/>
      <c r="CX146" s="111"/>
      <c r="CY146" s="111"/>
      <c r="CZ146" s="111"/>
      <c r="DA146" s="111"/>
      <c r="DB146" s="111"/>
      <c r="DC146" s="111"/>
      <c r="DD146" s="111"/>
      <c r="DE146" s="111"/>
      <c r="DF146" s="111" t="str">
        <f t="shared" si="22"/>
        <v>#DIV/0!</v>
      </c>
      <c r="DG146" s="111"/>
      <c r="DH146" s="111"/>
      <c r="DI146" s="111"/>
      <c r="DJ146" s="111"/>
      <c r="DK146" s="111"/>
      <c r="DL146" s="111"/>
      <c r="DM146" s="111"/>
      <c r="DN146" s="149"/>
      <c r="DO146" s="111"/>
      <c r="DP146" s="111"/>
      <c r="DQ146" s="111"/>
      <c r="DR146" s="111"/>
      <c r="DS146" s="111"/>
      <c r="DT146" s="111"/>
      <c r="DU146" s="111"/>
      <c r="DV146" s="111"/>
      <c r="DW146" s="111"/>
      <c r="DX146" s="111"/>
      <c r="DY146" s="111"/>
      <c r="DZ146" s="111"/>
      <c r="EA146" s="111"/>
      <c r="EB146" s="111"/>
      <c r="EC146" s="111"/>
      <c r="ED146" s="111"/>
      <c r="EE146" s="111"/>
      <c r="EF146" s="111"/>
      <c r="EG146" s="111"/>
      <c r="EH146" s="111"/>
      <c r="EI146" s="111"/>
      <c r="EJ146" s="111"/>
      <c r="EK146" s="147"/>
      <c r="EL146" s="111"/>
    </row>
    <row r="147" ht="17.25" customHeight="1">
      <c r="A147" s="148">
        <v>46052.0</v>
      </c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42"/>
      <c r="AU147" s="142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42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42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  <c r="CZ147" s="111"/>
      <c r="DA147" s="111"/>
      <c r="DB147" s="111"/>
      <c r="DC147" s="111"/>
      <c r="DD147" s="111"/>
      <c r="DE147" s="111"/>
      <c r="DF147" s="111" t="str">
        <f t="shared" si="22"/>
        <v>#DIV/0!</v>
      </c>
      <c r="DG147" s="111"/>
      <c r="DH147" s="111"/>
      <c r="DI147" s="111"/>
      <c r="DJ147" s="111"/>
      <c r="DK147" s="111"/>
      <c r="DL147" s="111"/>
      <c r="DM147" s="111"/>
      <c r="DN147" s="149"/>
      <c r="DO147" s="111"/>
      <c r="DP147" s="111"/>
      <c r="DQ147" s="111"/>
      <c r="DR147" s="111"/>
      <c r="DS147" s="111"/>
      <c r="DT147" s="111"/>
      <c r="DU147" s="111"/>
      <c r="DV147" s="111"/>
      <c r="DW147" s="111"/>
      <c r="DX147" s="111"/>
      <c r="DY147" s="111"/>
      <c r="DZ147" s="111"/>
      <c r="EA147" s="111"/>
      <c r="EB147" s="111"/>
      <c r="EC147" s="111"/>
      <c r="ED147" s="111"/>
      <c r="EE147" s="111"/>
      <c r="EF147" s="111"/>
      <c r="EG147" s="111"/>
      <c r="EH147" s="111"/>
      <c r="EI147" s="111"/>
      <c r="EJ147" s="111"/>
      <c r="EK147" s="147"/>
      <c r="EL147" s="111"/>
    </row>
    <row r="148" ht="17.25" customHeight="1">
      <c r="A148" s="148">
        <v>46053.0</v>
      </c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42"/>
      <c r="AU148" s="142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42"/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42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  <c r="CZ148" s="111"/>
      <c r="DA148" s="111"/>
      <c r="DB148" s="111"/>
      <c r="DC148" s="111"/>
      <c r="DD148" s="111"/>
      <c r="DE148" s="111"/>
      <c r="DF148" s="111" t="str">
        <f t="shared" si="22"/>
        <v>#DIV/0!</v>
      </c>
      <c r="DG148" s="111"/>
      <c r="DH148" s="111"/>
      <c r="DI148" s="111"/>
      <c r="DJ148" s="111"/>
      <c r="DK148" s="111"/>
      <c r="DL148" s="111"/>
      <c r="DM148" s="111"/>
      <c r="DN148" s="149"/>
      <c r="DO148" s="111"/>
      <c r="DP148" s="111"/>
      <c r="DQ148" s="111"/>
      <c r="DR148" s="111"/>
      <c r="DS148" s="111"/>
      <c r="DT148" s="111"/>
      <c r="DU148" s="111"/>
      <c r="DV148" s="111"/>
      <c r="DW148" s="111"/>
      <c r="DX148" s="111"/>
      <c r="DY148" s="111"/>
      <c r="DZ148" s="111"/>
      <c r="EA148" s="111"/>
      <c r="EB148" s="111"/>
      <c r="EC148" s="111"/>
      <c r="ED148" s="111"/>
      <c r="EE148" s="111"/>
      <c r="EF148" s="111"/>
      <c r="EG148" s="111"/>
      <c r="EH148" s="111"/>
      <c r="EI148" s="111"/>
      <c r="EJ148" s="111"/>
      <c r="EK148" s="147"/>
      <c r="EL148" s="111"/>
    </row>
    <row r="149" ht="17.25" customHeight="1">
      <c r="A149" s="150" t="s">
        <v>181</v>
      </c>
      <c r="B149" s="151">
        <f t="shared" ref="B149:EK149" si="25">SUM(B118:B148)</f>
        <v>0</v>
      </c>
      <c r="C149" s="151">
        <f t="shared" si="25"/>
        <v>0</v>
      </c>
      <c r="D149" s="151">
        <f t="shared" si="25"/>
        <v>0</v>
      </c>
      <c r="E149" s="151">
        <f t="shared" si="25"/>
        <v>2160</v>
      </c>
      <c r="F149" s="151">
        <f t="shared" si="25"/>
        <v>553.24</v>
      </c>
      <c r="G149" s="151">
        <f t="shared" si="25"/>
        <v>1382.24</v>
      </c>
      <c r="H149" s="151">
        <f t="shared" si="25"/>
        <v>0</v>
      </c>
      <c r="I149" s="151">
        <f t="shared" si="25"/>
        <v>0</v>
      </c>
      <c r="J149" s="151">
        <f t="shared" si="25"/>
        <v>0</v>
      </c>
      <c r="K149" s="151">
        <f t="shared" si="25"/>
        <v>2794.5</v>
      </c>
      <c r="L149" s="151">
        <f t="shared" si="25"/>
        <v>0</v>
      </c>
      <c r="M149" s="151">
        <f t="shared" si="25"/>
        <v>215.98</v>
      </c>
      <c r="N149" s="151">
        <f t="shared" si="25"/>
        <v>1313.72</v>
      </c>
      <c r="O149" s="151">
        <f t="shared" si="25"/>
        <v>5.8</v>
      </c>
      <c r="P149" s="151">
        <f t="shared" si="25"/>
        <v>0</v>
      </c>
      <c r="Q149" s="151">
        <f t="shared" si="25"/>
        <v>215.98</v>
      </c>
      <c r="R149" s="151">
        <f t="shared" si="25"/>
        <v>1313.72</v>
      </c>
      <c r="S149" s="151">
        <f t="shared" si="25"/>
        <v>0</v>
      </c>
      <c r="T149" s="151">
        <f t="shared" si="25"/>
        <v>171.87</v>
      </c>
      <c r="U149" s="151">
        <f t="shared" si="25"/>
        <v>1095.64</v>
      </c>
      <c r="V149" s="151">
        <f t="shared" si="25"/>
        <v>0</v>
      </c>
      <c r="W149" s="151">
        <f t="shared" si="25"/>
        <v>215.98</v>
      </c>
      <c r="X149" s="151">
        <f t="shared" si="25"/>
        <v>1313.72</v>
      </c>
      <c r="Y149" s="151">
        <f t="shared" si="25"/>
        <v>0</v>
      </c>
      <c r="Z149" s="151">
        <f t="shared" si="25"/>
        <v>183.87</v>
      </c>
      <c r="AA149" s="151">
        <f t="shared" si="25"/>
        <v>1007.92</v>
      </c>
      <c r="AB149" s="151">
        <f t="shared" si="25"/>
        <v>0</v>
      </c>
      <c r="AC149" s="151">
        <f t="shared" si="25"/>
        <v>215.98</v>
      </c>
      <c r="AD149" s="151">
        <f t="shared" si="25"/>
        <v>1313.72</v>
      </c>
      <c r="AE149" s="151">
        <f t="shared" si="25"/>
        <v>0</v>
      </c>
      <c r="AF149" s="151">
        <f t="shared" si="25"/>
        <v>164.52</v>
      </c>
      <c r="AG149" s="151">
        <f t="shared" si="25"/>
        <v>1011.88</v>
      </c>
      <c r="AH149" s="151">
        <f t="shared" si="25"/>
        <v>0</v>
      </c>
      <c r="AI149" s="151">
        <f t="shared" si="25"/>
        <v>0</v>
      </c>
      <c r="AJ149" s="151">
        <f t="shared" si="25"/>
        <v>0</v>
      </c>
      <c r="AK149" s="151">
        <f t="shared" si="25"/>
        <v>0</v>
      </c>
      <c r="AL149" s="151">
        <f t="shared" si="25"/>
        <v>68.77</v>
      </c>
      <c r="AM149" s="151">
        <f t="shared" si="25"/>
        <v>0</v>
      </c>
      <c r="AN149" s="151">
        <f t="shared" si="25"/>
        <v>83.09</v>
      </c>
      <c r="AO149" s="151">
        <f t="shared" si="25"/>
        <v>413.9</v>
      </c>
      <c r="AP149" s="151">
        <f t="shared" si="25"/>
        <v>0</v>
      </c>
      <c r="AQ149" s="151">
        <f t="shared" si="25"/>
        <v>0</v>
      </c>
      <c r="AR149" s="151">
        <f t="shared" si="25"/>
        <v>0</v>
      </c>
      <c r="AS149" s="151">
        <f t="shared" si="25"/>
        <v>0</v>
      </c>
      <c r="AT149" s="151">
        <f t="shared" si="25"/>
        <v>0</v>
      </c>
      <c r="AU149" s="151">
        <f t="shared" si="25"/>
        <v>0</v>
      </c>
      <c r="AV149" s="151">
        <f t="shared" si="25"/>
        <v>312</v>
      </c>
      <c r="AW149" s="151">
        <f t="shared" si="25"/>
        <v>0</v>
      </c>
      <c r="AX149" s="151">
        <f t="shared" si="25"/>
        <v>0</v>
      </c>
      <c r="AY149" s="151">
        <f t="shared" si="25"/>
        <v>0</v>
      </c>
      <c r="AZ149" s="151">
        <f t="shared" si="25"/>
        <v>0</v>
      </c>
      <c r="BA149" s="151">
        <f t="shared" si="25"/>
        <v>0</v>
      </c>
      <c r="BB149" s="151">
        <f t="shared" si="25"/>
        <v>67.56</v>
      </c>
      <c r="BC149" s="151">
        <f t="shared" si="25"/>
        <v>0</v>
      </c>
      <c r="BD149" s="151">
        <f t="shared" si="25"/>
        <v>83.01</v>
      </c>
      <c r="BE149" s="151">
        <f t="shared" si="25"/>
        <v>406.1</v>
      </c>
      <c r="BF149" s="151">
        <f t="shared" si="25"/>
        <v>0</v>
      </c>
      <c r="BG149" s="151">
        <f t="shared" si="25"/>
        <v>0</v>
      </c>
      <c r="BH149" s="151">
        <f t="shared" si="25"/>
        <v>0</v>
      </c>
      <c r="BI149" s="151">
        <f t="shared" si="25"/>
        <v>0</v>
      </c>
      <c r="BJ149" s="151">
        <f t="shared" si="25"/>
        <v>0</v>
      </c>
      <c r="BK149" s="151">
        <f t="shared" si="25"/>
        <v>0</v>
      </c>
      <c r="BL149" s="151">
        <f t="shared" si="25"/>
        <v>104</v>
      </c>
      <c r="BM149" s="151">
        <f t="shared" si="25"/>
        <v>0</v>
      </c>
      <c r="BN149" s="151">
        <f t="shared" si="25"/>
        <v>0</v>
      </c>
      <c r="BO149" s="151">
        <f t="shared" si="25"/>
        <v>0</v>
      </c>
      <c r="BP149" s="151">
        <f t="shared" si="25"/>
        <v>0</v>
      </c>
      <c r="BQ149" s="151">
        <f t="shared" si="25"/>
        <v>0</v>
      </c>
      <c r="BR149" s="151">
        <f t="shared" si="25"/>
        <v>61.37</v>
      </c>
      <c r="BS149" s="151">
        <f t="shared" si="25"/>
        <v>0</v>
      </c>
      <c r="BT149" s="151">
        <f t="shared" si="25"/>
        <v>83.29</v>
      </c>
      <c r="BU149" s="151">
        <f t="shared" si="25"/>
        <v>391</v>
      </c>
      <c r="BV149" s="151">
        <f t="shared" si="25"/>
        <v>0</v>
      </c>
      <c r="BW149" s="151">
        <f t="shared" si="25"/>
        <v>0</v>
      </c>
      <c r="BX149" s="151">
        <f t="shared" si="25"/>
        <v>0</v>
      </c>
      <c r="BY149" s="151">
        <f t="shared" si="25"/>
        <v>0</v>
      </c>
      <c r="BZ149" s="151">
        <f t="shared" si="25"/>
        <v>0</v>
      </c>
      <c r="CA149" s="151">
        <f t="shared" si="25"/>
        <v>0</v>
      </c>
      <c r="CB149" s="151">
        <f t="shared" si="25"/>
        <v>104</v>
      </c>
      <c r="CC149" s="151">
        <f t="shared" si="25"/>
        <v>0</v>
      </c>
      <c r="CD149" s="151">
        <f t="shared" si="25"/>
        <v>0</v>
      </c>
      <c r="CE149" s="151">
        <f t="shared" si="25"/>
        <v>0</v>
      </c>
      <c r="CF149" s="151">
        <f t="shared" si="25"/>
        <v>0</v>
      </c>
      <c r="CG149" s="151">
        <f t="shared" si="25"/>
        <v>0</v>
      </c>
      <c r="CH149" s="151">
        <f t="shared" si="25"/>
        <v>0</v>
      </c>
      <c r="CI149" s="151">
        <f t="shared" si="25"/>
        <v>0</v>
      </c>
      <c r="CJ149" s="151">
        <f t="shared" si="25"/>
        <v>0</v>
      </c>
      <c r="CK149" s="151">
        <f t="shared" si="25"/>
        <v>0</v>
      </c>
      <c r="CL149" s="151">
        <f t="shared" si="25"/>
        <v>0</v>
      </c>
      <c r="CM149" s="151">
        <f t="shared" si="25"/>
        <v>0</v>
      </c>
      <c r="CN149" s="151">
        <f t="shared" si="25"/>
        <v>0</v>
      </c>
      <c r="CO149" s="151">
        <f t="shared" si="25"/>
        <v>0</v>
      </c>
      <c r="CP149" s="151">
        <f t="shared" si="25"/>
        <v>0</v>
      </c>
      <c r="CQ149" s="151">
        <f t="shared" si="25"/>
        <v>0</v>
      </c>
      <c r="CR149" s="151">
        <f t="shared" si="25"/>
        <v>189220</v>
      </c>
      <c r="CS149" s="151">
        <f t="shared" si="25"/>
        <v>0</v>
      </c>
      <c r="CT149" s="151">
        <f t="shared" si="25"/>
        <v>2286.964167</v>
      </c>
      <c r="CU149" s="151">
        <f t="shared" si="25"/>
        <v>0</v>
      </c>
      <c r="CV149" s="151">
        <f t="shared" si="25"/>
        <v>662.6</v>
      </c>
      <c r="CW149" s="151">
        <f t="shared" si="25"/>
        <v>0</v>
      </c>
      <c r="CX149" s="151">
        <f t="shared" si="25"/>
        <v>0</v>
      </c>
      <c r="CY149" s="151">
        <f t="shared" si="25"/>
        <v>0</v>
      </c>
      <c r="CZ149" s="151">
        <f t="shared" si="25"/>
        <v>70911</v>
      </c>
      <c r="DA149" s="151">
        <f t="shared" si="25"/>
        <v>2600.176</v>
      </c>
      <c r="DB149" s="151">
        <f t="shared" si="25"/>
        <v>71.224</v>
      </c>
      <c r="DC149" s="151">
        <f t="shared" si="25"/>
        <v>50</v>
      </c>
      <c r="DD149" s="151">
        <f t="shared" si="25"/>
        <v>2.04</v>
      </c>
      <c r="DE149" s="151">
        <f t="shared" si="25"/>
        <v>39</v>
      </c>
      <c r="DF149" s="151" t="str">
        <f t="shared" si="25"/>
        <v>#DIV/0!</v>
      </c>
      <c r="DG149" s="151">
        <f t="shared" si="25"/>
        <v>0</v>
      </c>
      <c r="DH149" s="151">
        <f t="shared" si="25"/>
        <v>0</v>
      </c>
      <c r="DI149" s="151">
        <f t="shared" si="25"/>
        <v>0</v>
      </c>
      <c r="DJ149" s="151">
        <f t="shared" si="25"/>
        <v>0</v>
      </c>
      <c r="DK149" s="151">
        <f t="shared" si="25"/>
        <v>0</v>
      </c>
      <c r="DL149" s="151">
        <f t="shared" si="25"/>
        <v>0</v>
      </c>
      <c r="DM149" s="151">
        <f t="shared" si="25"/>
        <v>157.8</v>
      </c>
      <c r="DN149" s="154">
        <f t="shared" si="25"/>
        <v>3881</v>
      </c>
      <c r="DO149" s="151">
        <f t="shared" si="25"/>
        <v>153</v>
      </c>
      <c r="DP149" s="151">
        <f t="shared" si="25"/>
        <v>0</v>
      </c>
      <c r="DQ149" s="151">
        <f t="shared" si="25"/>
        <v>0</v>
      </c>
      <c r="DR149" s="151">
        <f t="shared" si="25"/>
        <v>0</v>
      </c>
      <c r="DS149" s="151">
        <f t="shared" si="25"/>
        <v>0</v>
      </c>
      <c r="DT149" s="151">
        <f t="shared" si="25"/>
        <v>0</v>
      </c>
      <c r="DU149" s="151">
        <f t="shared" si="25"/>
        <v>0</v>
      </c>
      <c r="DV149" s="151">
        <f t="shared" si="25"/>
        <v>0</v>
      </c>
      <c r="DW149" s="151">
        <f t="shared" si="25"/>
        <v>147636</v>
      </c>
      <c r="DX149" s="153">
        <f t="shared" si="25"/>
        <v>54.37071082</v>
      </c>
      <c r="DY149" s="151">
        <f t="shared" si="25"/>
        <v>1170</v>
      </c>
      <c r="DZ149" s="151">
        <f t="shared" si="25"/>
        <v>0</v>
      </c>
      <c r="EA149" s="151">
        <f t="shared" si="25"/>
        <v>0</v>
      </c>
      <c r="EB149" s="151">
        <f t="shared" si="25"/>
        <v>0</v>
      </c>
      <c r="EC149" s="151">
        <f t="shared" si="25"/>
        <v>0</v>
      </c>
      <c r="ED149" s="151">
        <f t="shared" si="25"/>
        <v>506.94</v>
      </c>
      <c r="EE149" s="151">
        <f t="shared" si="25"/>
        <v>0</v>
      </c>
      <c r="EF149" s="151">
        <f t="shared" si="25"/>
        <v>0</v>
      </c>
      <c r="EG149" s="151">
        <f t="shared" si="25"/>
        <v>0</v>
      </c>
      <c r="EH149" s="151">
        <f t="shared" si="25"/>
        <v>0</v>
      </c>
      <c r="EI149" s="151">
        <f t="shared" si="25"/>
        <v>0</v>
      </c>
      <c r="EJ149" s="151">
        <f t="shared" si="25"/>
        <v>0</v>
      </c>
      <c r="EK149" s="151">
        <f t="shared" si="25"/>
        <v>0</v>
      </c>
      <c r="EL149" s="151"/>
    </row>
    <row r="150" ht="17.25" customHeight="1">
      <c r="A150" s="156" t="s">
        <v>182</v>
      </c>
      <c r="B150" s="151">
        <f t="shared" ref="B150:EK150" si="26">B149/31</f>
        <v>0</v>
      </c>
      <c r="C150" s="151">
        <f t="shared" si="26"/>
        <v>0</v>
      </c>
      <c r="D150" s="151">
        <f t="shared" si="26"/>
        <v>0</v>
      </c>
      <c r="E150" s="151">
        <f t="shared" si="26"/>
        <v>69.67741935</v>
      </c>
      <c r="F150" s="151">
        <f t="shared" si="26"/>
        <v>17.84645161</v>
      </c>
      <c r="G150" s="151">
        <f t="shared" si="26"/>
        <v>44.5883871</v>
      </c>
      <c r="H150" s="151">
        <f t="shared" si="26"/>
        <v>0</v>
      </c>
      <c r="I150" s="151">
        <f t="shared" si="26"/>
        <v>0</v>
      </c>
      <c r="J150" s="151">
        <f t="shared" si="26"/>
        <v>0</v>
      </c>
      <c r="K150" s="151">
        <f t="shared" si="26"/>
        <v>90.14516129</v>
      </c>
      <c r="L150" s="151">
        <f t="shared" si="26"/>
        <v>0</v>
      </c>
      <c r="M150" s="151">
        <f t="shared" si="26"/>
        <v>6.967096774</v>
      </c>
      <c r="N150" s="151">
        <f t="shared" si="26"/>
        <v>42.37806452</v>
      </c>
      <c r="O150" s="151">
        <f t="shared" si="26"/>
        <v>0.1870967742</v>
      </c>
      <c r="P150" s="151">
        <f t="shared" si="26"/>
        <v>0</v>
      </c>
      <c r="Q150" s="151">
        <f t="shared" si="26"/>
        <v>6.967096774</v>
      </c>
      <c r="R150" s="151">
        <f t="shared" si="26"/>
        <v>42.37806452</v>
      </c>
      <c r="S150" s="151">
        <f t="shared" si="26"/>
        <v>0</v>
      </c>
      <c r="T150" s="151">
        <f t="shared" si="26"/>
        <v>5.544193548</v>
      </c>
      <c r="U150" s="151">
        <f t="shared" si="26"/>
        <v>35.34322581</v>
      </c>
      <c r="V150" s="151">
        <f t="shared" si="26"/>
        <v>0</v>
      </c>
      <c r="W150" s="151">
        <f t="shared" si="26"/>
        <v>6.967096774</v>
      </c>
      <c r="X150" s="151">
        <f t="shared" si="26"/>
        <v>42.37806452</v>
      </c>
      <c r="Y150" s="151">
        <f t="shared" si="26"/>
        <v>0</v>
      </c>
      <c r="Z150" s="151">
        <f t="shared" si="26"/>
        <v>5.931290323</v>
      </c>
      <c r="AA150" s="151">
        <f t="shared" si="26"/>
        <v>32.51354839</v>
      </c>
      <c r="AB150" s="151">
        <f t="shared" si="26"/>
        <v>0</v>
      </c>
      <c r="AC150" s="151">
        <f t="shared" si="26"/>
        <v>6.967096774</v>
      </c>
      <c r="AD150" s="151">
        <f t="shared" si="26"/>
        <v>42.37806452</v>
      </c>
      <c r="AE150" s="151">
        <f t="shared" si="26"/>
        <v>0</v>
      </c>
      <c r="AF150" s="151">
        <f t="shared" si="26"/>
        <v>5.307096774</v>
      </c>
      <c r="AG150" s="151">
        <f t="shared" si="26"/>
        <v>32.64129032</v>
      </c>
      <c r="AH150" s="151">
        <f t="shared" si="26"/>
        <v>0</v>
      </c>
      <c r="AI150" s="151">
        <f t="shared" si="26"/>
        <v>0</v>
      </c>
      <c r="AJ150" s="151">
        <f t="shared" si="26"/>
        <v>0</v>
      </c>
      <c r="AK150" s="151">
        <f t="shared" si="26"/>
        <v>0</v>
      </c>
      <c r="AL150" s="151">
        <f t="shared" si="26"/>
        <v>2.218387097</v>
      </c>
      <c r="AM150" s="151">
        <f t="shared" si="26"/>
        <v>0</v>
      </c>
      <c r="AN150" s="151">
        <f t="shared" si="26"/>
        <v>2.680322581</v>
      </c>
      <c r="AO150" s="151">
        <f t="shared" si="26"/>
        <v>13.3516129</v>
      </c>
      <c r="AP150" s="151">
        <f t="shared" si="26"/>
        <v>0</v>
      </c>
      <c r="AQ150" s="151">
        <f t="shared" si="26"/>
        <v>0</v>
      </c>
      <c r="AR150" s="151">
        <f t="shared" si="26"/>
        <v>0</v>
      </c>
      <c r="AS150" s="151">
        <f t="shared" si="26"/>
        <v>0</v>
      </c>
      <c r="AT150" s="151">
        <f t="shared" si="26"/>
        <v>0</v>
      </c>
      <c r="AU150" s="151">
        <f t="shared" si="26"/>
        <v>0</v>
      </c>
      <c r="AV150" s="151">
        <f t="shared" si="26"/>
        <v>10.06451613</v>
      </c>
      <c r="AW150" s="151">
        <f t="shared" si="26"/>
        <v>0</v>
      </c>
      <c r="AX150" s="151">
        <f t="shared" si="26"/>
        <v>0</v>
      </c>
      <c r="AY150" s="151">
        <f t="shared" si="26"/>
        <v>0</v>
      </c>
      <c r="AZ150" s="151">
        <f t="shared" si="26"/>
        <v>0</v>
      </c>
      <c r="BA150" s="151">
        <f t="shared" si="26"/>
        <v>0</v>
      </c>
      <c r="BB150" s="151">
        <f t="shared" si="26"/>
        <v>2.179354839</v>
      </c>
      <c r="BC150" s="151">
        <f t="shared" si="26"/>
        <v>0</v>
      </c>
      <c r="BD150" s="151">
        <f t="shared" si="26"/>
        <v>2.677741935</v>
      </c>
      <c r="BE150" s="151">
        <f t="shared" si="26"/>
        <v>13.1</v>
      </c>
      <c r="BF150" s="151">
        <f t="shared" si="26"/>
        <v>0</v>
      </c>
      <c r="BG150" s="151">
        <f t="shared" si="26"/>
        <v>0</v>
      </c>
      <c r="BH150" s="151">
        <f t="shared" si="26"/>
        <v>0</v>
      </c>
      <c r="BI150" s="151">
        <f t="shared" si="26"/>
        <v>0</v>
      </c>
      <c r="BJ150" s="151">
        <f t="shared" si="26"/>
        <v>0</v>
      </c>
      <c r="BK150" s="151">
        <f t="shared" si="26"/>
        <v>0</v>
      </c>
      <c r="BL150" s="151">
        <f t="shared" si="26"/>
        <v>3.35483871</v>
      </c>
      <c r="BM150" s="151">
        <f t="shared" si="26"/>
        <v>0</v>
      </c>
      <c r="BN150" s="151">
        <f t="shared" si="26"/>
        <v>0</v>
      </c>
      <c r="BO150" s="151">
        <f t="shared" si="26"/>
        <v>0</v>
      </c>
      <c r="BP150" s="151">
        <f t="shared" si="26"/>
        <v>0</v>
      </c>
      <c r="BQ150" s="151">
        <f t="shared" si="26"/>
        <v>0</v>
      </c>
      <c r="BR150" s="151">
        <f t="shared" si="26"/>
        <v>1.979677419</v>
      </c>
      <c r="BS150" s="151">
        <f t="shared" si="26"/>
        <v>0</v>
      </c>
      <c r="BT150" s="151">
        <f t="shared" si="26"/>
        <v>2.686774194</v>
      </c>
      <c r="BU150" s="151">
        <f t="shared" si="26"/>
        <v>12.61290323</v>
      </c>
      <c r="BV150" s="151">
        <f t="shared" si="26"/>
        <v>0</v>
      </c>
      <c r="BW150" s="151">
        <f t="shared" si="26"/>
        <v>0</v>
      </c>
      <c r="BX150" s="151">
        <f t="shared" si="26"/>
        <v>0</v>
      </c>
      <c r="BY150" s="151">
        <f t="shared" si="26"/>
        <v>0</v>
      </c>
      <c r="BZ150" s="151">
        <f t="shared" si="26"/>
        <v>0</v>
      </c>
      <c r="CA150" s="151">
        <f t="shared" si="26"/>
        <v>0</v>
      </c>
      <c r="CB150" s="151">
        <f t="shared" si="26"/>
        <v>3.35483871</v>
      </c>
      <c r="CC150" s="151">
        <f t="shared" si="26"/>
        <v>0</v>
      </c>
      <c r="CD150" s="151">
        <f t="shared" si="26"/>
        <v>0</v>
      </c>
      <c r="CE150" s="151">
        <f t="shared" si="26"/>
        <v>0</v>
      </c>
      <c r="CF150" s="151">
        <f t="shared" si="26"/>
        <v>0</v>
      </c>
      <c r="CG150" s="151">
        <f t="shared" si="26"/>
        <v>0</v>
      </c>
      <c r="CH150" s="151">
        <f t="shared" si="26"/>
        <v>0</v>
      </c>
      <c r="CI150" s="151">
        <f t="shared" si="26"/>
        <v>0</v>
      </c>
      <c r="CJ150" s="151">
        <f t="shared" si="26"/>
        <v>0</v>
      </c>
      <c r="CK150" s="151">
        <f t="shared" si="26"/>
        <v>0</v>
      </c>
      <c r="CL150" s="151">
        <f t="shared" si="26"/>
        <v>0</v>
      </c>
      <c r="CM150" s="151">
        <f t="shared" si="26"/>
        <v>0</v>
      </c>
      <c r="CN150" s="151">
        <f t="shared" si="26"/>
        <v>0</v>
      </c>
      <c r="CO150" s="151">
        <f t="shared" si="26"/>
        <v>0</v>
      </c>
      <c r="CP150" s="151">
        <f t="shared" si="26"/>
        <v>0</v>
      </c>
      <c r="CQ150" s="151">
        <f t="shared" si="26"/>
        <v>0</v>
      </c>
      <c r="CR150" s="151">
        <f t="shared" si="26"/>
        <v>6103.870968</v>
      </c>
      <c r="CS150" s="151">
        <f t="shared" si="26"/>
        <v>0</v>
      </c>
      <c r="CT150" s="151">
        <f t="shared" si="26"/>
        <v>73.77303763</v>
      </c>
      <c r="CU150" s="151">
        <f t="shared" si="26"/>
        <v>0</v>
      </c>
      <c r="CV150" s="151">
        <f t="shared" si="26"/>
        <v>21.37419355</v>
      </c>
      <c r="CW150" s="151">
        <f t="shared" si="26"/>
        <v>0</v>
      </c>
      <c r="CX150" s="151">
        <f t="shared" si="26"/>
        <v>0</v>
      </c>
      <c r="CY150" s="151">
        <f t="shared" si="26"/>
        <v>0</v>
      </c>
      <c r="CZ150" s="151">
        <f t="shared" si="26"/>
        <v>2287.451613</v>
      </c>
      <c r="DA150" s="151">
        <f t="shared" si="26"/>
        <v>83.87664516</v>
      </c>
      <c r="DB150" s="151">
        <f t="shared" si="26"/>
        <v>2.297548387</v>
      </c>
      <c r="DC150" s="151">
        <f t="shared" si="26"/>
        <v>1.612903226</v>
      </c>
      <c r="DD150" s="151">
        <f t="shared" si="26"/>
        <v>0.06580645161</v>
      </c>
      <c r="DE150" s="151">
        <f t="shared" si="26"/>
        <v>1.258064516</v>
      </c>
      <c r="DF150" s="151" t="str">
        <f t="shared" si="26"/>
        <v>#DIV/0!</v>
      </c>
      <c r="DG150" s="151">
        <f t="shared" si="26"/>
        <v>0</v>
      </c>
      <c r="DH150" s="151">
        <f t="shared" si="26"/>
        <v>0</v>
      </c>
      <c r="DI150" s="151">
        <f t="shared" si="26"/>
        <v>0</v>
      </c>
      <c r="DJ150" s="151">
        <f t="shared" si="26"/>
        <v>0</v>
      </c>
      <c r="DK150" s="151">
        <f t="shared" si="26"/>
        <v>0</v>
      </c>
      <c r="DL150" s="151">
        <f t="shared" si="26"/>
        <v>0</v>
      </c>
      <c r="DM150" s="151">
        <f t="shared" si="26"/>
        <v>5.090322581</v>
      </c>
      <c r="DN150" s="151">
        <f t="shared" si="26"/>
        <v>125.1935484</v>
      </c>
      <c r="DO150" s="151">
        <f t="shared" si="26"/>
        <v>4.935483871</v>
      </c>
      <c r="DP150" s="151">
        <f t="shared" si="26"/>
        <v>0</v>
      </c>
      <c r="DQ150" s="151">
        <f t="shared" si="26"/>
        <v>0</v>
      </c>
      <c r="DR150" s="151">
        <f t="shared" si="26"/>
        <v>0</v>
      </c>
      <c r="DS150" s="151">
        <f t="shared" si="26"/>
        <v>0</v>
      </c>
      <c r="DT150" s="151">
        <f t="shared" si="26"/>
        <v>0</v>
      </c>
      <c r="DU150" s="151">
        <f t="shared" si="26"/>
        <v>0</v>
      </c>
      <c r="DV150" s="151">
        <f t="shared" si="26"/>
        <v>0</v>
      </c>
      <c r="DW150" s="151">
        <f t="shared" si="26"/>
        <v>4762.451613</v>
      </c>
      <c r="DX150" s="151">
        <f t="shared" si="26"/>
        <v>1.753893897</v>
      </c>
      <c r="DY150" s="151">
        <f t="shared" si="26"/>
        <v>37.74193548</v>
      </c>
      <c r="DZ150" s="151">
        <f t="shared" si="26"/>
        <v>0</v>
      </c>
      <c r="EA150" s="151">
        <f t="shared" si="26"/>
        <v>0</v>
      </c>
      <c r="EB150" s="151">
        <f t="shared" si="26"/>
        <v>0</v>
      </c>
      <c r="EC150" s="151">
        <f t="shared" si="26"/>
        <v>0</v>
      </c>
      <c r="ED150" s="151">
        <f t="shared" si="26"/>
        <v>16.35290323</v>
      </c>
      <c r="EE150" s="151">
        <f t="shared" si="26"/>
        <v>0</v>
      </c>
      <c r="EF150" s="151">
        <f t="shared" si="26"/>
        <v>0</v>
      </c>
      <c r="EG150" s="151">
        <f t="shared" si="26"/>
        <v>0</v>
      </c>
      <c r="EH150" s="151">
        <f t="shared" si="26"/>
        <v>0</v>
      </c>
      <c r="EI150" s="151">
        <f t="shared" si="26"/>
        <v>0</v>
      </c>
      <c r="EJ150" s="151">
        <f t="shared" si="26"/>
        <v>0</v>
      </c>
      <c r="EK150" s="151">
        <f t="shared" si="26"/>
        <v>0</v>
      </c>
      <c r="EL150" s="151"/>
    </row>
    <row r="151" ht="17.2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42"/>
      <c r="AU151" s="142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42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42"/>
      <c r="CA151" s="111"/>
      <c r="CB151" s="111"/>
      <c r="CC151" s="111"/>
      <c r="CD151" s="111"/>
      <c r="CE151" s="111"/>
      <c r="CF151" s="111"/>
      <c r="CG151" s="111"/>
      <c r="CH151" s="111"/>
      <c r="CI151" s="111"/>
      <c r="CJ151" s="111"/>
      <c r="CK151" s="111"/>
      <c r="CL151" s="111"/>
      <c r="CM151" s="111"/>
      <c r="CN151" s="111"/>
      <c r="CO151" s="111"/>
      <c r="CP151" s="111"/>
      <c r="CQ151" s="111"/>
      <c r="CR151" s="111"/>
      <c r="CS151" s="111"/>
      <c r="CT151" s="111"/>
      <c r="CU151" s="111"/>
      <c r="CV151" s="111"/>
      <c r="CW151" s="111"/>
      <c r="CX151" s="111"/>
      <c r="CY151" s="111"/>
      <c r="CZ151" s="111"/>
      <c r="DA151" s="111"/>
      <c r="DB151" s="111"/>
      <c r="DC151" s="111"/>
      <c r="DD151" s="111"/>
      <c r="DE151" s="111"/>
      <c r="DF151" s="111"/>
      <c r="DG151" s="111"/>
      <c r="DH151" s="111"/>
      <c r="DI151" s="111"/>
      <c r="DJ151" s="111"/>
      <c r="DK151" s="111"/>
      <c r="DL151" s="111"/>
      <c r="DM151" s="111"/>
      <c r="DN151" s="111"/>
      <c r="DO151" s="111"/>
      <c r="DP151" s="111"/>
      <c r="DQ151" s="111"/>
      <c r="DR151" s="111"/>
      <c r="DS151" s="111"/>
      <c r="DT151" s="111"/>
      <c r="DU151" s="111"/>
      <c r="DV151" s="111"/>
      <c r="DW151" s="111"/>
      <c r="DX151" s="111"/>
      <c r="DY151" s="111"/>
      <c r="DZ151" s="111"/>
      <c r="EA151" s="111"/>
      <c r="EB151" s="111"/>
      <c r="EC151" s="111"/>
      <c r="ED151" s="111"/>
      <c r="EE151" s="111"/>
      <c r="EF151" s="111"/>
      <c r="EG151" s="111"/>
      <c r="EH151" s="111"/>
      <c r="EI151" s="111"/>
      <c r="EJ151" s="111"/>
      <c r="EK151" s="147"/>
      <c r="EL151" s="111"/>
    </row>
    <row r="152" ht="17.2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42"/>
      <c r="AU152" s="142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42"/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42"/>
      <c r="CA152" s="111"/>
      <c r="CB152" s="111"/>
      <c r="CC152" s="111"/>
      <c r="CD152" s="111"/>
      <c r="CE152" s="111"/>
      <c r="CF152" s="111"/>
      <c r="CG152" s="111"/>
      <c r="CH152" s="111"/>
      <c r="CI152" s="111"/>
      <c r="CJ152" s="111"/>
      <c r="CK152" s="111"/>
      <c r="CL152" s="111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  <c r="CZ152" s="111"/>
      <c r="DA152" s="111"/>
      <c r="DB152" s="111"/>
      <c r="DC152" s="111"/>
      <c r="DD152" s="111"/>
      <c r="DE152" s="111"/>
      <c r="DF152" s="111"/>
      <c r="DG152" s="111"/>
      <c r="DH152" s="111"/>
      <c r="DI152" s="111"/>
      <c r="DJ152" s="111"/>
      <c r="DK152" s="111"/>
      <c r="DL152" s="111"/>
      <c r="DM152" s="111"/>
      <c r="DN152" s="111"/>
      <c r="DO152" s="111"/>
      <c r="DP152" s="111"/>
      <c r="DQ152" s="111"/>
      <c r="DR152" s="111"/>
      <c r="DS152" s="111"/>
      <c r="DT152" s="111"/>
      <c r="DU152" s="111"/>
      <c r="DV152" s="111"/>
      <c r="DW152" s="111"/>
      <c r="DX152" s="111"/>
      <c r="DY152" s="111"/>
      <c r="DZ152" s="111"/>
      <c r="EA152" s="111"/>
      <c r="EB152" s="111"/>
      <c r="EC152" s="111"/>
      <c r="ED152" s="111"/>
      <c r="EE152" s="111"/>
      <c r="EF152" s="111"/>
      <c r="EG152" s="111"/>
      <c r="EH152" s="111"/>
      <c r="EI152" s="111"/>
      <c r="EJ152" s="111"/>
      <c r="EK152" s="147"/>
      <c r="EL152" s="111"/>
    </row>
    <row r="153" ht="17.2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42"/>
      <c r="AU153" s="142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42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42"/>
      <c r="CA153" s="111"/>
      <c r="CB153" s="111"/>
      <c r="CC153" s="111"/>
      <c r="CD153" s="111"/>
      <c r="CE153" s="111"/>
      <c r="CF153" s="111"/>
      <c r="CG153" s="111"/>
      <c r="CH153" s="111"/>
      <c r="CI153" s="111"/>
      <c r="CJ153" s="111"/>
      <c r="CK153" s="111"/>
      <c r="CL153" s="111"/>
      <c r="CM153" s="111"/>
      <c r="CN153" s="111"/>
      <c r="CO153" s="111"/>
      <c r="CP153" s="111"/>
      <c r="CQ153" s="111"/>
      <c r="CR153" s="111"/>
      <c r="CS153" s="111"/>
      <c r="CT153" s="111"/>
      <c r="CU153" s="111"/>
      <c r="CV153" s="111"/>
      <c r="CW153" s="111"/>
      <c r="CX153" s="111"/>
      <c r="CY153" s="111"/>
      <c r="CZ153" s="111"/>
      <c r="DA153" s="111"/>
      <c r="DB153" s="111"/>
      <c r="DC153" s="111"/>
      <c r="DD153" s="111"/>
      <c r="DE153" s="111"/>
      <c r="DF153" s="111"/>
      <c r="DG153" s="111"/>
      <c r="DH153" s="111"/>
      <c r="DI153" s="111"/>
      <c r="DJ153" s="111"/>
      <c r="DK153" s="111"/>
      <c r="DL153" s="111"/>
      <c r="DM153" s="111"/>
      <c r="DN153" s="111"/>
      <c r="DO153" s="111"/>
      <c r="DP153" s="111"/>
      <c r="DQ153" s="111"/>
      <c r="DR153" s="111"/>
      <c r="DS153" s="111"/>
      <c r="DT153" s="111"/>
      <c r="DU153" s="111"/>
      <c r="DV153" s="111"/>
      <c r="DW153" s="111"/>
      <c r="DX153" s="111"/>
      <c r="DY153" s="111"/>
      <c r="DZ153" s="111"/>
      <c r="EA153" s="111"/>
      <c r="EB153" s="111"/>
      <c r="EC153" s="111"/>
      <c r="ED153" s="111"/>
      <c r="EE153" s="111"/>
      <c r="EF153" s="111"/>
      <c r="EG153" s="111"/>
      <c r="EH153" s="111"/>
      <c r="EI153" s="111"/>
      <c r="EJ153" s="111"/>
      <c r="EK153" s="147"/>
      <c r="EL153" s="111"/>
    </row>
    <row r="154" ht="17.2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42"/>
      <c r="AU154" s="142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42"/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42"/>
      <c r="CA154" s="111"/>
      <c r="CB154" s="111"/>
      <c r="CC154" s="111"/>
      <c r="CD154" s="111"/>
      <c r="CE154" s="111"/>
      <c r="CF154" s="111"/>
      <c r="CG154" s="111"/>
      <c r="CH154" s="111"/>
      <c r="CI154" s="111"/>
      <c r="CJ154" s="111"/>
      <c r="CK154" s="111"/>
      <c r="CL154" s="111"/>
      <c r="CM154" s="111"/>
      <c r="CN154" s="111"/>
      <c r="CO154" s="111"/>
      <c r="CP154" s="111"/>
      <c r="CQ154" s="111"/>
      <c r="CR154" s="111"/>
      <c r="CS154" s="111"/>
      <c r="CT154" s="111"/>
      <c r="CU154" s="111"/>
      <c r="CV154" s="111"/>
      <c r="CW154" s="111"/>
      <c r="CX154" s="111"/>
      <c r="CY154" s="111"/>
      <c r="CZ154" s="111"/>
      <c r="DA154" s="111"/>
      <c r="DB154" s="111"/>
      <c r="DC154" s="111"/>
      <c r="DD154" s="111"/>
      <c r="DE154" s="111"/>
      <c r="DF154" s="111"/>
      <c r="DG154" s="111"/>
      <c r="DH154" s="111"/>
      <c r="DI154" s="111"/>
      <c r="DJ154" s="111"/>
      <c r="DK154" s="111"/>
      <c r="DL154" s="111"/>
      <c r="DM154" s="111"/>
      <c r="DN154" s="111"/>
      <c r="DO154" s="111"/>
      <c r="DP154" s="111"/>
      <c r="DQ154" s="111"/>
      <c r="DR154" s="111"/>
      <c r="DS154" s="111"/>
      <c r="DT154" s="111"/>
      <c r="DU154" s="111"/>
      <c r="DV154" s="111"/>
      <c r="DW154" s="111"/>
      <c r="DX154" s="111"/>
      <c r="DY154" s="111"/>
      <c r="DZ154" s="111"/>
      <c r="EA154" s="111"/>
      <c r="EB154" s="111"/>
      <c r="EC154" s="111"/>
      <c r="ED154" s="111"/>
      <c r="EE154" s="111"/>
      <c r="EF154" s="111"/>
      <c r="EG154" s="111"/>
      <c r="EH154" s="111"/>
      <c r="EI154" s="111"/>
      <c r="EJ154" s="111"/>
      <c r="EK154" s="147"/>
      <c r="EL154" s="111"/>
    </row>
    <row r="155" ht="17.2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42"/>
      <c r="AU155" s="142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42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42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  <c r="CZ155" s="111"/>
      <c r="DA155" s="111"/>
      <c r="DB155" s="111"/>
      <c r="DC155" s="111"/>
      <c r="DD155" s="111"/>
      <c r="DE155" s="111"/>
      <c r="DF155" s="111"/>
      <c r="DG155" s="111"/>
      <c r="DH155" s="111"/>
      <c r="DI155" s="111"/>
      <c r="DJ155" s="111"/>
      <c r="DK155" s="111"/>
      <c r="DL155" s="111"/>
      <c r="DM155" s="111"/>
      <c r="DN155" s="111"/>
      <c r="DO155" s="111"/>
      <c r="DP155" s="111"/>
      <c r="DQ155" s="111"/>
      <c r="DR155" s="111"/>
      <c r="DS155" s="111"/>
      <c r="DT155" s="111"/>
      <c r="DU155" s="111"/>
      <c r="DV155" s="111"/>
      <c r="DW155" s="111"/>
      <c r="DX155" s="111"/>
      <c r="DY155" s="111"/>
      <c r="DZ155" s="111"/>
      <c r="EA155" s="111"/>
      <c r="EB155" s="111"/>
      <c r="EC155" s="111"/>
      <c r="ED155" s="111"/>
      <c r="EE155" s="111"/>
      <c r="EF155" s="111"/>
      <c r="EG155" s="111"/>
      <c r="EH155" s="111"/>
      <c r="EI155" s="111"/>
      <c r="EJ155" s="111"/>
      <c r="EK155" s="147"/>
      <c r="EL155" s="11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5"/>
      <c r="AU156" s="5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5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5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5"/>
      <c r="AU157" s="5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5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5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5"/>
      <c r="AU158" s="5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5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5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5"/>
      <c r="AU159" s="5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5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5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5"/>
      <c r="AU160" s="5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5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5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5"/>
      <c r="AU161" s="5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5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5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5"/>
      <c r="AU162" s="5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5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5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5"/>
      <c r="AU163" s="5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5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5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5"/>
      <c r="AU164" s="5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5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5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5"/>
      <c r="AU165" s="5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5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5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5"/>
      <c r="AU166" s="5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5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5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5"/>
      <c r="AU167" s="5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5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5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5"/>
      <c r="AU168" s="5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5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5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5"/>
      <c r="AU169" s="5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5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5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5"/>
      <c r="AU170" s="5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5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5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5"/>
      <c r="AU171" s="5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5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5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5"/>
      <c r="AU172" s="5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5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5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5"/>
      <c r="AU173" s="5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5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5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5"/>
      <c r="AU174" s="5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5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5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5"/>
      <c r="AU175" s="5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5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5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5"/>
      <c r="AU176" s="5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5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5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5"/>
      <c r="AU177" s="5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5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5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5"/>
      <c r="AU178" s="5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5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5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5"/>
      <c r="AU179" s="5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5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5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5"/>
      <c r="AU180" s="5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5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5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5"/>
      <c r="AU181" s="5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5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5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5"/>
      <c r="AU182" s="5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5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5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5"/>
      <c r="AU183" s="5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5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5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5"/>
      <c r="AU184" s="5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5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5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5"/>
      <c r="AU185" s="5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5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5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5"/>
      <c r="AU186" s="5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5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5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5"/>
      <c r="AU187" s="5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5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5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5"/>
      <c r="AU188" s="5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5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5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5"/>
      <c r="AU189" s="5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5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5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5"/>
      <c r="AU190" s="5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5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5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5"/>
      <c r="AU191" s="5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5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5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5"/>
      <c r="AU192" s="5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5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5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5"/>
      <c r="AU193" s="5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5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5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5"/>
      <c r="AU194" s="5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5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5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5"/>
      <c r="AU195" s="5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5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5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5"/>
      <c r="AU196" s="5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5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5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5"/>
      <c r="AU197" s="5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5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5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5"/>
      <c r="AU198" s="5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5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5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5"/>
      <c r="AU199" s="5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5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5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5"/>
      <c r="AU200" s="5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5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5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5"/>
      <c r="AU201" s="5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5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5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5"/>
      <c r="AU202" s="5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5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5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5"/>
      <c r="AU203" s="5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5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5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5"/>
      <c r="AU204" s="5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5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5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5"/>
      <c r="AU205" s="5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5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5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5"/>
      <c r="AU206" s="5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5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5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5"/>
      <c r="AU207" s="5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5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5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5"/>
      <c r="AU208" s="5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5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5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5"/>
      <c r="AU209" s="5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5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5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5"/>
      <c r="AU210" s="5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5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5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5"/>
      <c r="AU211" s="5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5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5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5"/>
      <c r="AU212" s="5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5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5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5"/>
      <c r="AU213" s="5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5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5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5"/>
      <c r="AU214" s="5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5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5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5"/>
      <c r="AU215" s="5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5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5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5"/>
      <c r="AU216" s="5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5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5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5"/>
      <c r="AU217" s="5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5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5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5"/>
      <c r="AU218" s="5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5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5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5"/>
      <c r="AU219" s="5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5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5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5"/>
      <c r="AU220" s="5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5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5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5"/>
      <c r="AU221" s="5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5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5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5"/>
      <c r="AU222" s="5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5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5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5"/>
      <c r="AU223" s="5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5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5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5"/>
      <c r="AU224" s="5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5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5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5"/>
      <c r="AU225" s="5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5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5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5"/>
      <c r="AU226" s="5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5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5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5"/>
      <c r="AU227" s="5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5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5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5"/>
      <c r="AU228" s="5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5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5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5"/>
      <c r="AU229" s="5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5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5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5"/>
      <c r="AU230" s="5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5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5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5"/>
      <c r="AU231" s="5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5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5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5"/>
      <c r="AU232" s="5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5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5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5"/>
      <c r="AU233" s="5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5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5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5"/>
      <c r="AU234" s="5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5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5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5"/>
      <c r="AU235" s="5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5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5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5"/>
      <c r="AU236" s="5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5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5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5"/>
      <c r="AU237" s="5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5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5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5"/>
      <c r="AU238" s="5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5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5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5"/>
      <c r="AU239" s="5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5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5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5"/>
      <c r="AU240" s="5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5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5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5"/>
      <c r="AU241" s="5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5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5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5"/>
      <c r="AU242" s="5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5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5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5"/>
      <c r="AU243" s="5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5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5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5"/>
      <c r="AU244" s="5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5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5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5"/>
      <c r="AU245" s="5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5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5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5"/>
      <c r="AU246" s="5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5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5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5"/>
      <c r="AU247" s="5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5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5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5"/>
      <c r="AU248" s="5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5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5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5"/>
      <c r="AU249" s="5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5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5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5"/>
      <c r="AU250" s="5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5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5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5"/>
      <c r="AU251" s="5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5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5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5"/>
      <c r="AU252" s="5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5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5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5"/>
      <c r="AU253" s="5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5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5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5"/>
      <c r="AU254" s="5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5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5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5"/>
      <c r="AU255" s="5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5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5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5"/>
      <c r="AU256" s="5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5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5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5"/>
      <c r="AU257" s="5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5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5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5"/>
      <c r="AU258" s="5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5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5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5"/>
      <c r="AU259" s="5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5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5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5"/>
      <c r="AU260" s="5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5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5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5"/>
      <c r="AU261" s="5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5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5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5"/>
      <c r="AU262" s="5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5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5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5"/>
      <c r="AU263" s="5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5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5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5"/>
      <c r="AU264" s="5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5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5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5"/>
      <c r="AU265" s="5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5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5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5"/>
      <c r="AU266" s="5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5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5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5"/>
      <c r="AU267" s="5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5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5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5"/>
      <c r="AU268" s="5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5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5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5"/>
      <c r="AU269" s="5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5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5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5"/>
      <c r="AU270" s="5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5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5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5"/>
      <c r="AU271" s="5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5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5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5"/>
      <c r="AU272" s="5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5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5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5"/>
      <c r="AU273" s="5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5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5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5"/>
      <c r="AU274" s="5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5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5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5"/>
      <c r="AU275" s="5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5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5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5"/>
      <c r="AU276" s="5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5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5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5"/>
      <c r="AU277" s="5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5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5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5"/>
      <c r="AU278" s="5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5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5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5"/>
      <c r="AU279" s="5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5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5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5"/>
      <c r="AU280" s="5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5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5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5"/>
      <c r="AU281" s="5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5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5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5"/>
      <c r="AU282" s="5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5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5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5"/>
      <c r="AU283" s="5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5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5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5"/>
      <c r="AU284" s="5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5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5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5"/>
      <c r="AU285" s="5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5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5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5"/>
      <c r="AU286" s="5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5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5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5"/>
      <c r="AU287" s="5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5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5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5"/>
      <c r="AU288" s="5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5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5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5"/>
      <c r="AU289" s="5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5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5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5"/>
      <c r="AU290" s="5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5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5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5"/>
      <c r="AU291" s="5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5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5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5"/>
      <c r="AU292" s="5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5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5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5"/>
      <c r="AU293" s="5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5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5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5"/>
      <c r="AU294" s="5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5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5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5"/>
      <c r="AU295" s="5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5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5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5"/>
      <c r="AU296" s="5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5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5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5"/>
      <c r="AU297" s="5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5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5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5"/>
      <c r="AU298" s="5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5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5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5"/>
      <c r="AU299" s="5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5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5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5"/>
      <c r="AU300" s="5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5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5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5"/>
      <c r="AU301" s="5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5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5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5"/>
      <c r="AU302" s="5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5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5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5"/>
      <c r="AU303" s="5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5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5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5"/>
      <c r="AU304" s="5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5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5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5"/>
      <c r="AU305" s="5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5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5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5"/>
      <c r="AU306" s="5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5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5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5"/>
      <c r="AU307" s="5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5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5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5"/>
      <c r="AU308" s="5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5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5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5"/>
      <c r="AU309" s="5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5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5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5"/>
      <c r="AU310" s="5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5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5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5"/>
      <c r="AU311" s="5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5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5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5"/>
      <c r="AU312" s="5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5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5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5"/>
      <c r="AU313" s="5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5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5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5"/>
      <c r="AU314" s="5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5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5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5"/>
      <c r="AU315" s="5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5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5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5"/>
      <c r="AU316" s="5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5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5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5"/>
      <c r="AU317" s="5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5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5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5"/>
      <c r="AU318" s="5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5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5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5"/>
      <c r="AU319" s="5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5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5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5"/>
      <c r="AU320" s="5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5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5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5"/>
      <c r="AU321" s="5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5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5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5"/>
      <c r="AU322" s="5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5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5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5"/>
      <c r="AU323" s="5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5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5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5"/>
      <c r="AU324" s="5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5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5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5"/>
      <c r="AU325" s="5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5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5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5"/>
      <c r="AU326" s="5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5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5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5"/>
      <c r="AU327" s="5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5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5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5"/>
      <c r="AU328" s="5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5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5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5"/>
      <c r="AU329" s="5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5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5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5"/>
      <c r="AU330" s="5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5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5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5"/>
      <c r="AU331" s="5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5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5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5"/>
      <c r="AU332" s="5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5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5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5"/>
      <c r="AU333" s="5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5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5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5"/>
      <c r="AU334" s="5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5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5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5"/>
      <c r="AU335" s="5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5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5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5"/>
      <c r="AU336" s="5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5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5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5"/>
      <c r="AU337" s="5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5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5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5"/>
      <c r="AU338" s="5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5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5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5"/>
      <c r="AU339" s="5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5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5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5"/>
      <c r="AU340" s="5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5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5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5"/>
      <c r="AU341" s="5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5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5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5"/>
      <c r="AU342" s="5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5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5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5"/>
      <c r="AU343" s="5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5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5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5"/>
      <c r="AU344" s="5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5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5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5"/>
      <c r="AU345" s="5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5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5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5"/>
      <c r="AU346" s="5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5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5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5"/>
      <c r="AU347" s="5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5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5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5"/>
      <c r="AU348" s="5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5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5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5"/>
      <c r="AU349" s="5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5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5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5"/>
      <c r="AU350" s="5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5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5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5"/>
      <c r="AU351" s="5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5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5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5"/>
      <c r="AU352" s="5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5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5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5"/>
      <c r="AU353" s="5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5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5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5"/>
      <c r="AU354" s="5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5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5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5"/>
      <c r="AU355" s="5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5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5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5"/>
      <c r="AU356" s="5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5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5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5"/>
      <c r="AU357" s="5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5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5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5"/>
      <c r="AU358" s="5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5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5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5"/>
      <c r="AU359" s="5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5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5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5"/>
      <c r="AU360" s="5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5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5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5"/>
      <c r="AU361" s="5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5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5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5"/>
      <c r="AU362" s="5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5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5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5"/>
      <c r="AU363" s="5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5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5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5"/>
      <c r="AU364" s="5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5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5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5"/>
      <c r="AU365" s="5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5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5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5"/>
      <c r="AU366" s="5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5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5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5"/>
      <c r="AU367" s="5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5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5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5"/>
      <c r="AU368" s="5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5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5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5"/>
      <c r="AU369" s="5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5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5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5"/>
      <c r="AU370" s="5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5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5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5"/>
      <c r="AU371" s="5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5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5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5"/>
      <c r="AU372" s="5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5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5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5"/>
      <c r="AU373" s="5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5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5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5"/>
      <c r="AU374" s="5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5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5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5"/>
      <c r="AU375" s="5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5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5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5"/>
      <c r="AU376" s="5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5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5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5"/>
      <c r="AU377" s="5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5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5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5"/>
      <c r="AU378" s="5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5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5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5"/>
      <c r="AU379" s="5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5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5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5"/>
      <c r="AU380" s="5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5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5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5"/>
      <c r="AU381" s="5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5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5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5"/>
      <c r="AU382" s="5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5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5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5"/>
      <c r="AU383" s="5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5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5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5"/>
      <c r="AU384" s="5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5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5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5"/>
      <c r="AU385" s="5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5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5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5"/>
      <c r="AU386" s="5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5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5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5"/>
      <c r="AU387" s="5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5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5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5"/>
      <c r="AU388" s="5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5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5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5"/>
      <c r="AU389" s="5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5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5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5"/>
      <c r="AU390" s="5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5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5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5"/>
      <c r="AU391" s="5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5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5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5"/>
      <c r="AU392" s="5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5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5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5"/>
      <c r="AU393" s="5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5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5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5"/>
      <c r="AU394" s="5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5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5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5"/>
      <c r="AU395" s="5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5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5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5"/>
      <c r="AU396" s="5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5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5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5"/>
      <c r="AU397" s="5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5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5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5"/>
      <c r="AU398" s="5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5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5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5"/>
      <c r="AU399" s="5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5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5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5"/>
      <c r="AU400" s="5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5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5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5"/>
      <c r="AU401" s="5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5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5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5"/>
      <c r="AU402" s="5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5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5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5"/>
      <c r="AU403" s="5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5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5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5"/>
      <c r="AU404" s="5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5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5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5"/>
      <c r="AU405" s="5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5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5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5"/>
      <c r="AU406" s="5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5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5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5"/>
      <c r="AU407" s="5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5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5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5"/>
      <c r="AU408" s="5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5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5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5"/>
      <c r="AU409" s="5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5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5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5"/>
      <c r="AU410" s="5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5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5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5"/>
      <c r="AU411" s="5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5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5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5"/>
      <c r="AU412" s="5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5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5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5"/>
      <c r="AU413" s="5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5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5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5"/>
      <c r="AU414" s="5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5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5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5"/>
      <c r="AU415" s="5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5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5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5"/>
      <c r="AU416" s="5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5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5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5"/>
      <c r="AU417" s="5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5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5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5"/>
      <c r="AU418" s="5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5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5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5"/>
      <c r="AU419" s="5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5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5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5"/>
      <c r="AU420" s="5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5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5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5"/>
      <c r="AU421" s="5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5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5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5"/>
      <c r="AU422" s="5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5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5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5"/>
      <c r="AU423" s="5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5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5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5"/>
      <c r="AU424" s="5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5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5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5"/>
      <c r="AU425" s="5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5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5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5"/>
      <c r="AU426" s="5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5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5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5"/>
      <c r="AU427" s="5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5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5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5"/>
      <c r="AU428" s="5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5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5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5"/>
      <c r="AU429" s="5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5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5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5"/>
      <c r="AU430" s="5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5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5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5"/>
      <c r="AU431" s="5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5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5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5"/>
      <c r="AU432" s="5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5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5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5"/>
      <c r="AU433" s="5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5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5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5"/>
      <c r="AU434" s="5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5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5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5"/>
      <c r="AU435" s="5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5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5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5"/>
      <c r="AU436" s="5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5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5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5"/>
      <c r="AU437" s="5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5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5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5"/>
      <c r="AU438" s="5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5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5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5"/>
      <c r="AU439" s="5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5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5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5"/>
      <c r="AU440" s="5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5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5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5"/>
      <c r="AU441" s="5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5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5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5"/>
      <c r="AU442" s="5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5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5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5"/>
      <c r="AU443" s="5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5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5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5"/>
      <c r="AU444" s="5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5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5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5"/>
      <c r="AU445" s="5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5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5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5"/>
      <c r="AU446" s="5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5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5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5"/>
      <c r="AU447" s="5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5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5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5"/>
      <c r="AU448" s="5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5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5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5"/>
      <c r="AU449" s="5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5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5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5"/>
      <c r="AU450" s="5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5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5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5"/>
      <c r="AU451" s="5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5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5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5"/>
      <c r="AU452" s="5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5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5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5"/>
      <c r="AU453" s="5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5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5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5"/>
      <c r="AU454" s="5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5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5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5"/>
      <c r="AU455" s="5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5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5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5"/>
      <c r="AU456" s="5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5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5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5"/>
      <c r="AU457" s="5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5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5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5"/>
      <c r="AU458" s="5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5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5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5"/>
      <c r="AU459" s="5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5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5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5"/>
      <c r="AU460" s="5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5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5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5"/>
      <c r="AU461" s="5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5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5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5"/>
      <c r="AU462" s="5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5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5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5"/>
      <c r="AU463" s="5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5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5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5"/>
      <c r="AU464" s="5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5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5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5"/>
      <c r="AU465" s="5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5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5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5"/>
      <c r="AU466" s="5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5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5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5"/>
      <c r="AU467" s="5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5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5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5"/>
      <c r="AU468" s="5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5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5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5"/>
      <c r="AU469" s="5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5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5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5"/>
      <c r="AU470" s="5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5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5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5"/>
      <c r="AU471" s="5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5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5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5"/>
      <c r="AU472" s="5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5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5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5"/>
      <c r="AU473" s="5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5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5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5"/>
      <c r="AU474" s="5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5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5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5"/>
      <c r="AU475" s="5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5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5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5"/>
      <c r="AU476" s="5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5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5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5"/>
      <c r="AU477" s="5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5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5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5"/>
      <c r="AU478" s="5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5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5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5"/>
      <c r="AU479" s="5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5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5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5"/>
      <c r="AU480" s="5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5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5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5"/>
      <c r="AU481" s="5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5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5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5"/>
      <c r="AU482" s="5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5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5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5"/>
      <c r="AU483" s="5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5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5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5"/>
      <c r="AU484" s="5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5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5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5"/>
      <c r="AU485" s="5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5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5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5"/>
      <c r="AU486" s="5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5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5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5"/>
      <c r="AU487" s="5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5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5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5"/>
      <c r="AU488" s="5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5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5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5"/>
      <c r="AU489" s="5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5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5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5"/>
      <c r="AU490" s="5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5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5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5"/>
      <c r="AU491" s="5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5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5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5"/>
      <c r="AU492" s="5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5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5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5"/>
      <c r="AU493" s="5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5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5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5"/>
      <c r="AU494" s="5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5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5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5"/>
      <c r="AU495" s="5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5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5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5"/>
      <c r="AU496" s="5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5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5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5"/>
      <c r="AU497" s="5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5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5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5"/>
      <c r="AU498" s="5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5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5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5"/>
      <c r="AU499" s="5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5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5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5"/>
      <c r="AU500" s="5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5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5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5"/>
      <c r="AU501" s="5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5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5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5"/>
      <c r="AU502" s="5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5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5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5"/>
      <c r="AU503" s="5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5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5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5"/>
      <c r="AU504" s="5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5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5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5"/>
      <c r="AU505" s="5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5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5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5"/>
      <c r="AU506" s="5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5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5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5"/>
      <c r="AU507" s="5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5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5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5"/>
      <c r="AU508" s="5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5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5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5"/>
      <c r="AU509" s="5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5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5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5"/>
      <c r="AU510" s="5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5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5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5"/>
      <c r="AU511" s="5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5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5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5"/>
      <c r="AU512" s="5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5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5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5"/>
      <c r="AU513" s="5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5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5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5"/>
      <c r="AU514" s="5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5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5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5"/>
      <c r="AU515" s="5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5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5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5"/>
      <c r="AU516" s="5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5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5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5"/>
      <c r="AU517" s="5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5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5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5"/>
      <c r="AU518" s="5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5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5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5"/>
      <c r="AU519" s="5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5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5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5"/>
      <c r="AU520" s="5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5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5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5"/>
      <c r="AU521" s="5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5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5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5"/>
      <c r="AU522" s="5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5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5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5"/>
      <c r="AU523" s="5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5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5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5"/>
      <c r="AU524" s="5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5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5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5"/>
      <c r="AU525" s="5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5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5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5"/>
      <c r="AU526" s="5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5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5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5"/>
      <c r="AU527" s="5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5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5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5"/>
      <c r="AU528" s="5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5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5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5"/>
      <c r="AU529" s="5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5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5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5"/>
      <c r="AU530" s="5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5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5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5"/>
      <c r="AU531" s="5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5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5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5"/>
      <c r="AU532" s="5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5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5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5"/>
      <c r="AU533" s="5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5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5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5"/>
      <c r="AU534" s="5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5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5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5"/>
      <c r="AU535" s="5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5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5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5"/>
      <c r="AU536" s="5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5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5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5"/>
      <c r="AU537" s="5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5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5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5"/>
      <c r="AU538" s="5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5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5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5"/>
      <c r="AU539" s="5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5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5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5"/>
      <c r="AU540" s="5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5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5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5"/>
      <c r="AU541" s="5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5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5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5"/>
      <c r="AU542" s="5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5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5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5"/>
      <c r="AU543" s="5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5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5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5"/>
      <c r="AU544" s="5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5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5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5"/>
      <c r="AU545" s="5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5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5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5"/>
      <c r="AU546" s="5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5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5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5"/>
      <c r="AU547" s="5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5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5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5"/>
      <c r="AU548" s="5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5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5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5"/>
      <c r="AU549" s="5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5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5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5"/>
      <c r="AU550" s="5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5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5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5"/>
      <c r="AU551" s="5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5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5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5"/>
      <c r="AU552" s="5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5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5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5"/>
      <c r="AU553" s="5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5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5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5"/>
      <c r="AU554" s="5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5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5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5"/>
      <c r="AU555" s="5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5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5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5"/>
      <c r="AU556" s="5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5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5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5"/>
      <c r="AU557" s="5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5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5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5"/>
      <c r="AU558" s="5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5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5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5"/>
      <c r="AU559" s="5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5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5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5"/>
      <c r="AU560" s="5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5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5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5"/>
      <c r="AU561" s="5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5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5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5"/>
      <c r="AU562" s="5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5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5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5"/>
      <c r="AU563" s="5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5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5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5"/>
      <c r="AU564" s="5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5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5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5"/>
      <c r="AU565" s="5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5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5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5"/>
      <c r="AU566" s="5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5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5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5"/>
      <c r="AU567" s="5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5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5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5"/>
      <c r="AU568" s="5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5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5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5"/>
      <c r="AU569" s="5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5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5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5"/>
      <c r="AU570" s="5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5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5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5"/>
      <c r="AU571" s="5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5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5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5"/>
      <c r="AU572" s="5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5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5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5"/>
      <c r="AU573" s="5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5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5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5"/>
      <c r="AU574" s="5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5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5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5"/>
      <c r="AU575" s="5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5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5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5"/>
      <c r="AU576" s="5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5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5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5"/>
      <c r="AU577" s="5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5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5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5"/>
      <c r="AU578" s="5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5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5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5"/>
      <c r="AU579" s="5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5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5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5"/>
      <c r="AU580" s="5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5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5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5"/>
      <c r="AU581" s="5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5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5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5"/>
      <c r="AU582" s="5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5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5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5"/>
      <c r="AU583" s="5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5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5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5"/>
      <c r="AU584" s="5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5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5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5"/>
      <c r="AU585" s="5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5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5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5"/>
      <c r="AU586" s="5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5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5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5"/>
      <c r="AU587" s="5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5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5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5"/>
      <c r="AU588" s="5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5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5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5"/>
      <c r="AU589" s="5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5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5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5"/>
      <c r="AU590" s="5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5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5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5"/>
      <c r="AU591" s="5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5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5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5"/>
      <c r="AU592" s="5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5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5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5"/>
      <c r="AU593" s="5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5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5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5"/>
      <c r="AU594" s="5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5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5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5"/>
      <c r="AU595" s="5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5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5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5"/>
      <c r="AU596" s="5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5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5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5"/>
      <c r="AU597" s="5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5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5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5"/>
      <c r="AU598" s="5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5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5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5"/>
      <c r="AU599" s="5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5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5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5"/>
      <c r="AU600" s="5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5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5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5"/>
      <c r="AU601" s="5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5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5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5"/>
      <c r="AU602" s="5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5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5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5"/>
      <c r="AU603" s="5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5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5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5"/>
      <c r="AU604" s="5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5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5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5"/>
      <c r="AU605" s="5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5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5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5"/>
      <c r="AU606" s="5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5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5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5"/>
      <c r="AU607" s="5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5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5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5"/>
      <c r="AU608" s="5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5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5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5"/>
      <c r="AU609" s="5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5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5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5"/>
      <c r="AU610" s="5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5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5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5"/>
      <c r="AU611" s="5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5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5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5"/>
      <c r="AU612" s="5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5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5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5"/>
      <c r="AU613" s="5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5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5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5"/>
      <c r="AU614" s="5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5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5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5"/>
      <c r="AU615" s="5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5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5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5"/>
      <c r="AU616" s="5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5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5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5"/>
      <c r="AU617" s="5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5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5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5"/>
      <c r="AU618" s="5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5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5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5"/>
      <c r="AU619" s="5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5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5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5"/>
      <c r="AU620" s="5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5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5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5"/>
      <c r="AU621" s="5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5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5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5"/>
      <c r="AU622" s="5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5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5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5"/>
      <c r="AU623" s="5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5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5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5"/>
      <c r="AU624" s="5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5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5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5"/>
      <c r="AU625" s="5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5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5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5"/>
      <c r="AU626" s="5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5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5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5"/>
      <c r="AU627" s="5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5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5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5"/>
      <c r="AU628" s="5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5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5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5"/>
      <c r="AU629" s="5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5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5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5"/>
      <c r="AU630" s="5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5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5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5"/>
      <c r="AU631" s="5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5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5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5"/>
      <c r="AU632" s="5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5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5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5"/>
      <c r="AU633" s="5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5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5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5"/>
      <c r="AU634" s="5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5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5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5"/>
      <c r="AU635" s="5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5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5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5"/>
      <c r="AU636" s="5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5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5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5"/>
      <c r="AU637" s="5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5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5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5"/>
      <c r="AU638" s="5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5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5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5"/>
      <c r="AU639" s="5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5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5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5"/>
      <c r="AU640" s="5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5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5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5"/>
      <c r="AU641" s="5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5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5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5"/>
      <c r="AU642" s="5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5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5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5"/>
      <c r="AU643" s="5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5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5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5"/>
      <c r="AU644" s="5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5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5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5"/>
      <c r="AU645" s="5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5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5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5"/>
      <c r="AU646" s="5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5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5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5"/>
      <c r="AU647" s="5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5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5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5"/>
      <c r="AU648" s="5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5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5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5"/>
      <c r="AU649" s="5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5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5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5"/>
      <c r="AU650" s="5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5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5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5"/>
      <c r="AU651" s="5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5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5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5"/>
      <c r="AU652" s="5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5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5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5"/>
      <c r="AU653" s="5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5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5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5"/>
      <c r="AU654" s="5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5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5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5"/>
      <c r="AU655" s="5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5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5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5"/>
      <c r="AU656" s="5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5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5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5"/>
      <c r="AU657" s="5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5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5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5"/>
      <c r="AU658" s="5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5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5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5"/>
      <c r="AU659" s="5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5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5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5"/>
      <c r="AU660" s="5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5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5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5"/>
      <c r="AU661" s="5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5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5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5"/>
      <c r="AU662" s="5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5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5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5"/>
      <c r="AU663" s="5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5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5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5"/>
      <c r="AU664" s="5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5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5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5"/>
      <c r="AU665" s="5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5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5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5"/>
      <c r="AU666" s="5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5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5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5"/>
      <c r="AU667" s="5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5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5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5"/>
      <c r="AU668" s="5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5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5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5"/>
      <c r="AU669" s="5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5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5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5"/>
      <c r="AU670" s="5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5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5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5"/>
      <c r="AU671" s="5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5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5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5"/>
      <c r="AU672" s="5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5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5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5"/>
      <c r="AU673" s="5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5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5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5"/>
      <c r="AU674" s="5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5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5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5"/>
      <c r="AU675" s="5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5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5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5"/>
      <c r="AU676" s="5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5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5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5"/>
      <c r="AU677" s="5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5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5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5"/>
      <c r="AU678" s="5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5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5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5"/>
      <c r="AU679" s="5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5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5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5"/>
      <c r="AU680" s="5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5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5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5"/>
      <c r="AU681" s="5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5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5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5"/>
      <c r="AU682" s="5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5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5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5"/>
      <c r="AU683" s="5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5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5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5"/>
      <c r="AU684" s="5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5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5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5"/>
      <c r="AU685" s="5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5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5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5"/>
      <c r="AU686" s="5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5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5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5"/>
      <c r="AU687" s="5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5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5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5"/>
      <c r="AU688" s="5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5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5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5"/>
      <c r="AU689" s="5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5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5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5"/>
      <c r="AU690" s="5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5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5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5"/>
      <c r="AU691" s="5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5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5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5"/>
      <c r="AU692" s="5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5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5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5"/>
      <c r="AU693" s="5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5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5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5"/>
      <c r="AU694" s="5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5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5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5"/>
      <c r="AU695" s="5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5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5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5"/>
      <c r="AU696" s="5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5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5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5"/>
      <c r="AU697" s="5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5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5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5"/>
      <c r="AU698" s="5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5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5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5"/>
      <c r="AU699" s="5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5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5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5"/>
      <c r="AU700" s="5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5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5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5"/>
      <c r="AU701" s="5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5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5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5"/>
      <c r="AU702" s="5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5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5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5"/>
      <c r="AU703" s="5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5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5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5"/>
      <c r="AU704" s="5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5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5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5"/>
      <c r="AU705" s="5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5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5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5"/>
      <c r="AU706" s="5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5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5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5"/>
      <c r="AU707" s="5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5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5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5"/>
      <c r="AU708" s="5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5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5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5"/>
      <c r="AU709" s="5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5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5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5"/>
      <c r="AU710" s="5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5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5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5"/>
      <c r="AU711" s="5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5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5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5"/>
      <c r="AU712" s="5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5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5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5"/>
      <c r="AU713" s="5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5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5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5"/>
      <c r="AU714" s="5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5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5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5"/>
      <c r="AU715" s="5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5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5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5"/>
      <c r="AU716" s="5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5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5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5"/>
      <c r="AU717" s="5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5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5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5"/>
      <c r="AU718" s="5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5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5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5"/>
      <c r="AU719" s="5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5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5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5"/>
      <c r="AU720" s="5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5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5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5"/>
      <c r="AU721" s="5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5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5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5"/>
      <c r="AU722" s="5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5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5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5"/>
      <c r="AU723" s="5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5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5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5"/>
      <c r="AU724" s="5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5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5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5"/>
      <c r="AU725" s="5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5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5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5"/>
      <c r="AU726" s="5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5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5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5"/>
      <c r="AU727" s="5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5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5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5"/>
      <c r="AU728" s="5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5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5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5"/>
      <c r="AU729" s="5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5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5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5"/>
      <c r="AU730" s="5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5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5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5"/>
      <c r="AU731" s="5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5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5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5"/>
      <c r="AU732" s="5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5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5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5"/>
      <c r="AU733" s="5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5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5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5"/>
      <c r="AU734" s="5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5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5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5"/>
      <c r="AU735" s="5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5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5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5"/>
      <c r="AU736" s="5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5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5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5"/>
      <c r="AU737" s="5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5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5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5"/>
      <c r="AU738" s="5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5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5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5"/>
      <c r="AU739" s="5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5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5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5"/>
      <c r="AU740" s="5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5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5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5"/>
      <c r="AU741" s="5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5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5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5"/>
      <c r="AU742" s="5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5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5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5"/>
      <c r="AU743" s="5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5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5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5"/>
      <c r="AU744" s="5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5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5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5"/>
      <c r="AU745" s="5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5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5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5"/>
      <c r="AU746" s="5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5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5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5"/>
      <c r="AU747" s="5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5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5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5"/>
      <c r="AU748" s="5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5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5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5"/>
      <c r="AU749" s="5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5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5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5"/>
      <c r="AU750" s="5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5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5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5"/>
      <c r="AU751" s="5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5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5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5"/>
      <c r="AU752" s="5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5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5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5"/>
      <c r="AU753" s="5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5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5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5"/>
      <c r="AU754" s="5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5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5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5"/>
      <c r="AU755" s="5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5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5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5"/>
      <c r="AU756" s="5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5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5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5"/>
      <c r="AU757" s="5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5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5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5"/>
      <c r="AU758" s="5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5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5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5"/>
      <c r="AU759" s="5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5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5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5"/>
      <c r="AU760" s="5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5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5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5"/>
      <c r="AU761" s="5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5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5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5"/>
      <c r="AU762" s="5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5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5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5"/>
      <c r="AU763" s="5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5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5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5"/>
      <c r="AU764" s="5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5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5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5"/>
      <c r="AU765" s="5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5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5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5"/>
      <c r="AU766" s="5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5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5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5"/>
      <c r="AU767" s="5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5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5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5"/>
      <c r="AU768" s="5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5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5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5"/>
      <c r="AU769" s="5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5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5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5"/>
      <c r="AU770" s="5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5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5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5"/>
      <c r="AU771" s="5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5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5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5"/>
      <c r="AU772" s="5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5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5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5"/>
      <c r="AU773" s="5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5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5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5"/>
      <c r="AU774" s="5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5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5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5"/>
      <c r="AU775" s="5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5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5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5"/>
      <c r="AU776" s="5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5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5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5"/>
      <c r="AU777" s="5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5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5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5"/>
      <c r="AU778" s="5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5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5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5"/>
      <c r="AU779" s="5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5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5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5"/>
      <c r="AU780" s="5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5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5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5"/>
      <c r="AU781" s="5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5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5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5"/>
      <c r="AU782" s="5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5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5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5"/>
      <c r="AU783" s="5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5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5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5"/>
      <c r="AU784" s="5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5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5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5"/>
      <c r="AU785" s="5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5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5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5"/>
      <c r="AU786" s="5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5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5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5"/>
      <c r="AU787" s="5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5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5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5"/>
      <c r="AU788" s="5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5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5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5"/>
      <c r="AU789" s="5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5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5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5"/>
      <c r="AU790" s="5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5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5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5"/>
      <c r="AU791" s="5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5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5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5"/>
      <c r="AU792" s="5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5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5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5"/>
      <c r="AU793" s="5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5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5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5"/>
      <c r="AU794" s="5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5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5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5"/>
      <c r="AU795" s="5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5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5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5"/>
      <c r="AU796" s="5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5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5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5"/>
      <c r="AU797" s="5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5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5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5"/>
      <c r="AU798" s="5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5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5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5"/>
      <c r="AU799" s="5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5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5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5"/>
      <c r="AU800" s="5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5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5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5"/>
      <c r="AU801" s="5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5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5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5"/>
      <c r="AU802" s="5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5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5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5"/>
      <c r="AU803" s="5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5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5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5"/>
      <c r="AU804" s="5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5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5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5"/>
      <c r="AU805" s="5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5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5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5"/>
      <c r="AU806" s="5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5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5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5"/>
      <c r="AU807" s="5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5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5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5"/>
      <c r="AU808" s="5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5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5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5"/>
      <c r="AU809" s="5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5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5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5"/>
      <c r="AU810" s="5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5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5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5"/>
      <c r="AU811" s="5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5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5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5"/>
      <c r="AU812" s="5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5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5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5"/>
      <c r="AU813" s="5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5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5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5"/>
      <c r="AU814" s="5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5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5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5"/>
      <c r="AU815" s="5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5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5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5"/>
      <c r="AU816" s="5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5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5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5"/>
      <c r="AU817" s="5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5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5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5"/>
      <c r="AU818" s="5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5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5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5"/>
      <c r="AU819" s="5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5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5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5"/>
      <c r="AU820" s="5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5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5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5"/>
      <c r="AU821" s="5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5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5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5"/>
      <c r="AU822" s="5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5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5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5"/>
      <c r="AU823" s="5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5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5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5"/>
      <c r="AU824" s="5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5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5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5"/>
      <c r="AU825" s="5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5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5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5"/>
      <c r="AU826" s="5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5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5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5"/>
      <c r="AU827" s="5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5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5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5"/>
      <c r="AU828" s="5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5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5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5"/>
      <c r="AU829" s="5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5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5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5"/>
      <c r="AU830" s="5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5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5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5"/>
      <c r="AU831" s="5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5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5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5"/>
      <c r="AU832" s="5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5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5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5"/>
      <c r="AU833" s="5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5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5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5"/>
      <c r="AU834" s="5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5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5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5"/>
      <c r="AU835" s="5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5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5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5"/>
      <c r="AU836" s="5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5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5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5"/>
      <c r="AU837" s="5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5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5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5"/>
      <c r="AU838" s="5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5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5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5"/>
      <c r="AU839" s="5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5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5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5"/>
      <c r="AU840" s="5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5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5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5"/>
      <c r="AU841" s="5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5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5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5"/>
      <c r="AU842" s="5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5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5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5"/>
      <c r="AU843" s="5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5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5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5"/>
      <c r="AU844" s="5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5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5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5"/>
      <c r="AU845" s="5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5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5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5"/>
      <c r="AU846" s="5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5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5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5"/>
      <c r="AU847" s="5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5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5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5"/>
      <c r="AU848" s="5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5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5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5"/>
      <c r="AU849" s="5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5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5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5"/>
      <c r="AU850" s="5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5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5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5"/>
      <c r="AU851" s="5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5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5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5"/>
      <c r="AU852" s="5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5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5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5"/>
      <c r="AU853" s="5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5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5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5"/>
      <c r="AU854" s="5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5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5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5"/>
      <c r="AU855" s="5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5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5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5"/>
      <c r="AU856" s="5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5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5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5"/>
      <c r="AU857" s="5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5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5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5"/>
      <c r="AU858" s="5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5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5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5"/>
      <c r="AU859" s="5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5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5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5"/>
      <c r="AU860" s="5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5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5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5"/>
      <c r="AU861" s="5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5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5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5"/>
      <c r="AU862" s="5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5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5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5"/>
      <c r="AU863" s="5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5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5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5"/>
      <c r="AU864" s="5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5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5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5"/>
      <c r="AU865" s="5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5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5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5"/>
      <c r="AU866" s="5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5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5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5"/>
      <c r="AU867" s="5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5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5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5"/>
      <c r="AU868" s="5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5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5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5"/>
      <c r="AU869" s="5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5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5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5"/>
      <c r="AU870" s="5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5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5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5"/>
      <c r="AU871" s="5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5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5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5"/>
      <c r="AU872" s="5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5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5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5"/>
      <c r="AU873" s="5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5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5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5"/>
      <c r="AU874" s="5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5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5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5"/>
      <c r="AU875" s="5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5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5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5"/>
      <c r="AU876" s="5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5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5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5"/>
      <c r="AU877" s="5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5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5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5"/>
      <c r="AU878" s="5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5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5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5"/>
      <c r="AU879" s="5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5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5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5"/>
      <c r="AU880" s="5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5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5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5"/>
      <c r="AU881" s="5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5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5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5"/>
      <c r="AU882" s="5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5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5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5"/>
      <c r="AU883" s="5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5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5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5"/>
      <c r="AU884" s="5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5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5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5"/>
      <c r="AU885" s="5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5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5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5"/>
      <c r="AU886" s="5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5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5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5"/>
      <c r="AU887" s="5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5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5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5"/>
      <c r="AU888" s="5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5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5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5"/>
      <c r="AU889" s="5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5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5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5"/>
      <c r="AU890" s="5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5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5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5"/>
      <c r="AU891" s="5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5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5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5"/>
      <c r="AU892" s="5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5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5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5"/>
      <c r="AU893" s="5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5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5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5"/>
      <c r="AU894" s="5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5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5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5"/>
      <c r="AU895" s="5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5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5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5"/>
      <c r="AU896" s="5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5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5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5"/>
      <c r="AU897" s="5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5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5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5"/>
      <c r="AU898" s="5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5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5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5"/>
      <c r="AU899" s="5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5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5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5"/>
      <c r="AU900" s="5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5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5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5"/>
      <c r="AU901" s="5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5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5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5"/>
      <c r="AU902" s="5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5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5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5"/>
      <c r="AU903" s="5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5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5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5"/>
      <c r="AU904" s="5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5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5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5"/>
      <c r="AU905" s="5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5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5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5"/>
      <c r="AU906" s="5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5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5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5"/>
      <c r="AU907" s="5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5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5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5"/>
      <c r="AU908" s="5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5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5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5"/>
      <c r="AU909" s="5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5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5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5"/>
      <c r="AU910" s="5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5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5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5"/>
      <c r="AU911" s="5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5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5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5"/>
      <c r="AU912" s="5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5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5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5"/>
      <c r="AU913" s="5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5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5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5"/>
      <c r="AU914" s="5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5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5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5"/>
      <c r="AU915" s="5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5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5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5"/>
      <c r="AU916" s="5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5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5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5"/>
      <c r="AU917" s="5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5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5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5"/>
      <c r="AU918" s="5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5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5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5"/>
      <c r="AU919" s="5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5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5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5"/>
      <c r="AU920" s="5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5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5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5"/>
      <c r="AU921" s="5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5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5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5"/>
      <c r="AU922" s="5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5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5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5"/>
      <c r="AU923" s="5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5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5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5"/>
      <c r="AU924" s="5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5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5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5"/>
      <c r="AU925" s="5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5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5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5"/>
      <c r="AU926" s="5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5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5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5"/>
      <c r="AU927" s="5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5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5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5"/>
      <c r="AU928" s="5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5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5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5"/>
      <c r="AU929" s="5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5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5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5"/>
      <c r="AU930" s="5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5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5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5"/>
      <c r="AU931" s="5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5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5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5"/>
      <c r="AU932" s="5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5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5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5"/>
      <c r="AU933" s="5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5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5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5"/>
      <c r="AU934" s="5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5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5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5"/>
      <c r="AU935" s="5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5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5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5"/>
      <c r="AU936" s="5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5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5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5"/>
      <c r="AU937" s="5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5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5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5"/>
      <c r="AU938" s="5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5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5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5"/>
      <c r="AU939" s="5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5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5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5"/>
      <c r="AU940" s="5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5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5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5"/>
      <c r="AU941" s="5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5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5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5"/>
      <c r="AU942" s="5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5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5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5"/>
      <c r="AU943" s="5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5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5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5"/>
      <c r="AU944" s="5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5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5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5"/>
      <c r="AU945" s="5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5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5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5"/>
      <c r="AU946" s="5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5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5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5"/>
      <c r="AU947" s="5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5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5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5"/>
      <c r="AU948" s="5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5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5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5"/>
      <c r="AU949" s="5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5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5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5"/>
      <c r="AU950" s="5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5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5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5"/>
      <c r="AU951" s="5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5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5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5"/>
      <c r="AU952" s="5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5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5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5"/>
      <c r="AU953" s="5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5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5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5"/>
      <c r="AU954" s="5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5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5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5"/>
      <c r="AU955" s="5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5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5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5"/>
      <c r="AU956" s="5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5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5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5"/>
      <c r="AU957" s="5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5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5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5"/>
      <c r="AU958" s="5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5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5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5"/>
      <c r="AU959" s="5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5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5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5"/>
      <c r="AU960" s="5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5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5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5"/>
      <c r="AU961" s="5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5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5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5"/>
      <c r="AU962" s="5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5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5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5"/>
      <c r="AU963" s="5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5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5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5"/>
      <c r="AU964" s="5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5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5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5"/>
      <c r="AU965" s="5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5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5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5"/>
      <c r="AU966" s="5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5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5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5"/>
      <c r="AU967" s="5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5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5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5"/>
      <c r="AU968" s="5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5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5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5"/>
      <c r="AU969" s="5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5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5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5"/>
      <c r="AU970" s="5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5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5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5"/>
      <c r="AU971" s="5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5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5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5"/>
      <c r="AU972" s="5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5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5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5"/>
      <c r="AU973" s="5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5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5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5"/>
      <c r="AU974" s="5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5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5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5"/>
      <c r="AU975" s="5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5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5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5"/>
      <c r="AU976" s="5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5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5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5"/>
      <c r="AU977" s="5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5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5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5"/>
      <c r="AU978" s="5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5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5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5"/>
      <c r="AU979" s="5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5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5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5"/>
      <c r="AU980" s="5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5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5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5"/>
      <c r="AU981" s="5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5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5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5"/>
      <c r="AU982" s="5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5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5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5"/>
      <c r="AU983" s="5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5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5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5"/>
      <c r="AU984" s="5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5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5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5"/>
      <c r="AU985" s="5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5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5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5"/>
      <c r="AU986" s="5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5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5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5"/>
      <c r="AU987" s="5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5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5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5"/>
      <c r="AU988" s="5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5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5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5"/>
      <c r="AU989" s="5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5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5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5"/>
      <c r="AU990" s="5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5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5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5"/>
      <c r="AU991" s="5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5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5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5"/>
      <c r="AU992" s="5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5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5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5"/>
      <c r="AU993" s="5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5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5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5"/>
      <c r="AU994" s="5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5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5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5"/>
      <c r="AU995" s="5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5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5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5"/>
      <c r="AU996" s="5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5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5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5"/>
      <c r="AU997" s="5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5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5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5"/>
      <c r="AU998" s="5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5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5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5"/>
      <c r="AU999" s="5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5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5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5"/>
      <c r="AU1000" s="5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5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5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</row>
  </sheetData>
  <mergeCells count="86">
    <mergeCell ref="CS17:CS18"/>
    <mergeCell ref="CT17:CT18"/>
    <mergeCell ref="CH18:CJ18"/>
    <mergeCell ref="CK18:CN18"/>
    <mergeCell ref="AX17:BC17"/>
    <mergeCell ref="BD17:BM17"/>
    <mergeCell ref="BN17:BS17"/>
    <mergeCell ref="BT17:CC17"/>
    <mergeCell ref="CD17:CN17"/>
    <mergeCell ref="CO17:CQ17"/>
    <mergeCell ref="CR17:CR18"/>
    <mergeCell ref="DM17:DQ17"/>
    <mergeCell ref="DR17:DS17"/>
    <mergeCell ref="CU17:CY17"/>
    <mergeCell ref="CZ17:DE17"/>
    <mergeCell ref="DF17:DF18"/>
    <mergeCell ref="DG17:DG18"/>
    <mergeCell ref="DH17:DH18"/>
    <mergeCell ref="DI17:DI18"/>
    <mergeCell ref="DJ17:DL17"/>
    <mergeCell ref="B17:D17"/>
    <mergeCell ref="E17:G17"/>
    <mergeCell ref="F18:F19"/>
    <mergeCell ref="G18:G19"/>
    <mergeCell ref="B35:E35"/>
    <mergeCell ref="H18:H19"/>
    <mergeCell ref="I18:I19"/>
    <mergeCell ref="J18:J19"/>
    <mergeCell ref="K18:K19"/>
    <mergeCell ref="L18:L19"/>
    <mergeCell ref="M18:M19"/>
    <mergeCell ref="N18:N19"/>
    <mergeCell ref="O18:O19"/>
    <mergeCell ref="D8:G8"/>
    <mergeCell ref="N8:O8"/>
    <mergeCell ref="D9:G9"/>
    <mergeCell ref="D10:G10"/>
    <mergeCell ref="D11:G11"/>
    <mergeCell ref="D12:I12"/>
    <mergeCell ref="A16:A19"/>
    <mergeCell ref="C1:I1"/>
    <mergeCell ref="D2:G2"/>
    <mergeCell ref="D3:G3"/>
    <mergeCell ref="D4:G4"/>
    <mergeCell ref="D5:G5"/>
    <mergeCell ref="D6:G6"/>
    <mergeCell ref="D7:G7"/>
    <mergeCell ref="B16:O16"/>
    <mergeCell ref="P16:U16"/>
    <mergeCell ref="V16:AA16"/>
    <mergeCell ref="AB16:AG16"/>
    <mergeCell ref="AH16:AW16"/>
    <mergeCell ref="AX16:BM16"/>
    <mergeCell ref="BN16:CC16"/>
    <mergeCell ref="EB16:ED16"/>
    <mergeCell ref="EE16:EK16"/>
    <mergeCell ref="DT17:DU17"/>
    <mergeCell ref="DV17:DV18"/>
    <mergeCell ref="DW17:DX17"/>
    <mergeCell ref="DY17:EA17"/>
    <mergeCell ref="EB17:ED17"/>
    <mergeCell ref="EE17:EK17"/>
    <mergeCell ref="H17:J17"/>
    <mergeCell ref="L17:O17"/>
    <mergeCell ref="P17:U17"/>
    <mergeCell ref="V17:AA17"/>
    <mergeCell ref="AB17:AG17"/>
    <mergeCell ref="AH17:AM17"/>
    <mergeCell ref="AN17:AW17"/>
    <mergeCell ref="CD16:CN16"/>
    <mergeCell ref="CO16:CY16"/>
    <mergeCell ref="CZ16:DI16"/>
    <mergeCell ref="DJ16:DL16"/>
    <mergeCell ref="DM16:DU16"/>
    <mergeCell ref="DV16:DX16"/>
    <mergeCell ref="DY16:EA16"/>
    <mergeCell ref="B18:B19"/>
    <mergeCell ref="C18:C19"/>
    <mergeCell ref="D18:D19"/>
    <mergeCell ref="E18:E19"/>
    <mergeCell ref="P18:R18"/>
    <mergeCell ref="S18:U18"/>
    <mergeCell ref="V18:X18"/>
    <mergeCell ref="Y18:AA18"/>
    <mergeCell ref="AB18:AD18"/>
    <mergeCell ref="AE18:AG18"/>
  </mergeCells>
  <printOptions/>
  <pageMargins bottom="3.3070866141732287" footer="0.0" header="0.0" left="0.4330708661417323" right="0.4330708661417323" top="2.125984251968504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5"/>
    <col customWidth="1" min="3" max="3" width="25.75"/>
    <col customWidth="1" min="4" max="4" width="26.0"/>
    <col customWidth="1" min="5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>
      <c r="B8" s="157" t="s">
        <v>183</v>
      </c>
      <c r="C8" s="157" t="s">
        <v>184</v>
      </c>
      <c r="D8" s="157" t="s">
        <v>185</v>
      </c>
    </row>
    <row r="9" ht="13.5" customHeight="1">
      <c r="B9" s="158" t="s">
        <v>186</v>
      </c>
      <c r="C9" s="158">
        <v>284.0</v>
      </c>
      <c r="D9" s="158">
        <v>325.0</v>
      </c>
    </row>
    <row r="10" ht="13.5" customHeight="1">
      <c r="B10" s="158" t="s">
        <v>187</v>
      </c>
      <c r="C10" s="158">
        <v>1598.0</v>
      </c>
      <c r="D10" s="158">
        <v>2030.0</v>
      </c>
    </row>
    <row r="11" ht="13.5" customHeight="1">
      <c r="B11" s="158" t="s">
        <v>58</v>
      </c>
      <c r="C11" s="158">
        <v>10000.0</v>
      </c>
      <c r="D11" s="158">
        <v>9500.0</v>
      </c>
    </row>
    <row r="12" ht="13.5" customHeight="1">
      <c r="B12" s="159"/>
      <c r="C12" s="159"/>
      <c r="D12" s="159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2025-09-27T20:07:39Z</dcterms:created>
  <dc:creator>Abdul Naim</dc:creator>
</cp:coreProperties>
</file>